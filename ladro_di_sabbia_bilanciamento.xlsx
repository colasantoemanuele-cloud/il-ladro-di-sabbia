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gimi" sheetId="1" state="visible" r:id="rId3"/>
    <sheet name="Azioni" sheetId="2" state="visible" r:id="rId4"/>
    <sheet name="Simulatore Run" sheetId="3" state="visible" r:id="rId5"/>
    <sheet name="Endgam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<sst xmlns="http://schemas.openxmlformats.org/spreadsheetml/2006/main" count="450" uniqueCount="320">
  <si>
    <t xml:space="preserve">Il ladro di sabbia — Prototipo di bilanciamento economico (v3, ancorato a dati reali)</t>
  </si>
  <si>
    <t xml:space="preserve">A cosa serve questo file</t>
  </si>
  <si>
    <t xml:space="preserve">Testare a numeri il loop centrale (azioni -&gt; costo tempo-figlia / effetto sabbia-padre) PRIMA di scrivere codice o arte, per capire se il ritmo e le scelte 'tirano' nella direzione giusta.</t>
  </si>
  <si>
    <t xml:space="preserve">Come è strutturato</t>
  </si>
  <si>
    <t xml:space="preserve">Foglio 'Azioni': elenco delle azioni. Il costo/guadagno in sabbia ora si basa su un valore economico realistico in euro (colonna D), convertito in ore tramite il tasso mediano in B2 del foglio stesso.</t>
  </si>
  <si>
    <t xml:space="preserve">Foglio 'Simulatore Run': simula una run scegliendo una sequenza di azioni (celle blu), i totali si aggiornano da soli.</t>
  </si>
  <si>
    <t xml:space="preserve">Legenda colori</t>
  </si>
  <si>
    <t xml:space="preserve">Testo blu</t>
  </si>
  <si>
    <t xml:space="preserve">cella modificabile (input tuo)</t>
  </si>
  <si>
    <t xml:space="preserve">Testo nero</t>
  </si>
  <si>
    <t xml:space="preserve">formula, non toccare (si aggiorna da sola)</t>
  </si>
  <si>
    <t xml:space="preserve">Sfondo giallo</t>
  </si>
  <si>
    <t xml:space="preserve">assunzione/parametro chiave da tarare</t>
  </si>
  <si>
    <t xml:space="preserve">METODOLOGIA di questa ricalibrazione (v3)</t>
  </si>
  <si>
    <t xml:space="preserve">1) ANCORA ECONOMICA: 1 ora di sabbia 'mediana' = 14,9 € (salario mediano lordo orario nell'UE, Eurostat Structure of Earnings Survey 2022 - dato piu' recente disponibile, la rilevazione e' quadriennale). E' una MEDIANA, non una media: resistente agli stipendi outlier, com'era richiesto. Il tasso e' impostato nella cella B2 del foglio Azioni: cambialo per ricalibrare l'intera economia con un solo numero.</t>
  </si>
  <si>
    <t xml:space="preserve">2) LAVORO ONESTO = quasi un pareggio. Se lavori a salario mediano, il costo tempo e l'effetto sabbia si equivalgono quasi (al netto di una stima del 25% di cuneo fiscale su lavoro regolare). Non e' un errore: e' realistico che un lavoro onesto a paga mediana a malapena copra il costo della vita, il che rende narrativamente piu' comprensibile perche' il protagonista si rivolga al crimine.</t>
  </si>
  <si>
    <t xml:space="preserve">3) IL CRIMINE NON PAGA LE TASSE, MA IN REALTA' RENDE POCO: i dati FBI mostrano che la rapina in banca 'media' (quella con un semplice biglietto di richiesta) frutta solo 4.200-9.600$, molto meno di quanto il cinema suggerisca (fonte: FBI Bank Crime Statistics / UCR Robbery reports). Ho quindi riclassificato la rapina 'da sportello' come un colpo di entita' modesta (foglio Azioni, 'Rapina a un negozio'), e riservato numeri realmente enormi solo al 'grande colpo' pianificato con l'intera rete di contatti - coerente con i rari colpi-record della storia reale (decine/centinaia di milioni), non con la rapina media.</t>
  </si>
  <si>
    <t xml:space="preserve">4) SEQUESTRO DI PERSONA: il riscatto mediano globale e' single-cifra-decine-di-migliaia di $ (circa 27-29 mila $, fonte Control Risks), ma i casi di famiglie facoltose (non ultra-miliardarie) tipicamente superano il milione. Ho usato 1.000.000 € come stima per 'l'erede di una famiglia ricca' del gioco, un valore intermedio plausibile per questo profilo di bersaglio.</t>
  </si>
  <si>
    <t xml:space="preserve">5) Ogni valore economico non derivato da una statistica pubblica e' comunque una STIMA plausibile basata sugli ordini di grandezza reali (es. prezzo di un'arma sul mercato nero, incasso di una serata di poker clandestino): sono annotate come 'stima' nella colonna Fonte/nota, da considerarsi indicative, non dati ufficiali.</t>
  </si>
  <si>
    <t xml:space="preserve">6) Il Rischio % resta di riferimento, non simulato con dadi/RAND in questo prototipo deterministico.</t>
  </si>
  <si>
    <t xml:space="preserve">7) Costo Tempo-Figlia resta legato alla durata narrativa dell'azione (max 168 ore, la settimana), NON e' derivato dal tasso economico: rappresenta tempo di gioco che passa, non ricchezza.</t>
  </si>
  <si>
    <t xml:space="preserve">8) Tempo-Figlia parte da 168 ore (una settimana), Sabbia-Padre da 24 ore: il padre ha una riserva personale minima e fragile, coerente con l'aver dato quasi tutto per la figlia.</t>
  </si>
  <si>
    <t xml:space="preserve">9) 1 anno = 8.760 ore (colonna F del foglio Azioni la converte in automatico), per leggere a colpo d'occhio la scala dei numeri grandi.</t>
  </si>
  <si>
    <t xml:space="preserve">10) REGOLA FONDAMENTALE DEL MONDO: la sabbia non e' un oggetto fisico ne' un saldo impersonale in un caveau. Esiste solo dentro le persone e si trasferisce solo con il consenso del donatore (anche se estorto con minacce o tortura). Una banca non e' un forziere da scassinare: e' fatta di persone il cui compito e' accumulare sabbia per l'istituto e cederla su richiesta autorizzata - rapinarla significa coercere quelle persone specifiche. 'Sabbia sporca' e' solo un modo di dire per 'ottenuta illecitamente', non una sostanza diversa da ripulire su un mercato a parte. L'azione 'Vendere sabbia sporca a un compratore di alto livello' e' stata corretta per questo motivo (vedi colonna Fonte/nota).</t>
  </si>
  <si>
    <t xml:space="preserve">PARAMETRI ECONOMICI (tarabili)</t>
  </si>
  <si>
    <t xml:space="preserve">Salario mediano lordo UE, €/ora (Eurostat SES 2022)</t>
  </si>
  <si>
    <t xml:space="preserve">Ore in un anno (per colonna anni equivalenti)</t>
  </si>
  <si>
    <t xml:space="preserve">Azione</t>
  </si>
  <si>
    <t xml:space="preserve">Categoria</t>
  </si>
  <si>
    <t xml:space="preserve">Costo Tempo-Figlia (ore)</t>
  </si>
  <si>
    <t xml:space="preserve">Valore economico stimato (€)</t>
  </si>
  <si>
    <t xml:space="preserve">Effetto Sabbia-Padre (ore)</t>
  </si>
  <si>
    <t xml:space="preserve">Effetto Sabbia-Padre (anni equiv.)</t>
  </si>
  <si>
    <t xml:space="preserve">Rischio % (riferimento)</t>
  </si>
  <si>
    <t xml:space="preserve">Moralita'</t>
  </si>
  <si>
    <t xml:space="preserve">Fonte / assunzione</t>
  </si>
  <si>
    <t xml:space="preserve">Turno di lavoro onesto (8h, salario mediano)</t>
  </si>
  <si>
    <t xml:space="preserve">Lavoro</t>
  </si>
  <si>
    <t xml:space="preserve">Pulita</t>
  </si>
  <si>
    <t xml:space="preserve">8h x 14,9€ mediano, netto -25% cuneo fiscale stimato</t>
  </si>
  <si>
    <t xml:space="preserve">Turno doppio / straordinario (+25%)</t>
  </si>
  <si>
    <t xml:space="preserve">Pulita (logorante)</t>
  </si>
  <si>
    <t xml:space="preserve">16h x 14,9€ x1,25 maggiorazione, netto -25%</t>
  </si>
  <si>
    <t xml:space="preserve">Settimana di lavoro nero con un caporale</t>
  </si>
  <si>
    <t xml:space="preserve">Ambigua</t>
  </si>
  <si>
    <t xml:space="preserve">Paga informale ~65% della mediana, non tassata (nessuna detrazione, ma nessuna tutela)</t>
  </si>
  <si>
    <t xml:space="preserve">Lavoretto di sicurezza per un vecchio contatto</t>
  </si>
  <si>
    <t xml:space="preserve">Competenze rare pagate ~150% mediana, in nero</t>
  </si>
  <si>
    <t xml:space="preserve">Consulenza sicurezza per un'azienda</t>
  </si>
  <si>
    <t xml:space="preserve">Pulita/ambigua</t>
  </si>
  <si>
    <t xml:space="preserve">Tariffa da consulente specializzato ~250% mediana, tassata</t>
  </si>
  <si>
    <t xml:space="preserve">Vendere anni futuri a un'agenzia di prestiti-vita</t>
  </si>
  <si>
    <t xml:space="preserve">Estrema (debito esistenziale)</t>
  </si>
  <si>
    <t xml:space="preserve">Prestito equivalente a 5 anni di sabbia, non un salario: e' un debito enorme da restituire, non un guadagno pulito</t>
  </si>
  <si>
    <t xml:space="preserve">Fare da cavia per un esperimento clandestino</t>
  </si>
  <si>
    <t xml:space="preserve">Sporca</t>
  </si>
  <si>
    <t xml:space="preserve">Stima compenso studi clinici rischiosi non regolamentati</t>
  </si>
  <si>
    <t xml:space="preserve">Mendicare in strada</t>
  </si>
  <si>
    <t xml:space="preserve">Mendicare</t>
  </si>
  <si>
    <t xml:space="preserve">Pulita/neutra</t>
  </si>
  <si>
    <t xml:space="preserve">Stima elemosina media giornaliera in una grande citta'</t>
  </si>
  <si>
    <t xml:space="preserve">Rovistare tra i rifiuti in zone ricche</t>
  </si>
  <si>
    <t xml:space="preserve">Neutra</t>
  </si>
  <si>
    <t xml:space="preserve">Stima valore oggetti riciclabili trovati</t>
  </si>
  <si>
    <t xml:space="preserve">Esibirsi per strada (musica)</t>
  </si>
  <si>
    <t xml:space="preserve">Stima incasso medio busking</t>
  </si>
  <si>
    <t xml:space="preserve">Vendere oggetti personali (fede nuziale)</t>
  </si>
  <si>
    <t xml:space="preserve">Ambigua (costo emotivo)</t>
  </si>
  <si>
    <t xml:space="preserve">Prezzo medio oro usato</t>
  </si>
  <si>
    <t xml:space="preserve">Fingersi malato per elemosina mirata</t>
  </si>
  <si>
    <t xml:space="preserve">Stima</t>
  </si>
  <si>
    <t xml:space="preserve">Chiedere aiuto a un vecchio compagno di cella</t>
  </si>
  <si>
    <t xml:space="preserve">Piccolo prestito informale tra pari</t>
  </si>
  <si>
    <t xml:space="preserve">Comprare un'arma dal fornitore di fiducia</t>
  </si>
  <si>
    <t xml:space="preserve">Acquisto</t>
  </si>
  <si>
    <t xml:space="preserve">Stima prezzo mercato nero arma corta usata</t>
  </si>
  <si>
    <t xml:space="preserve">Comprare un giubbotto antiproiettile</t>
  </si>
  <si>
    <t xml:space="preserve">Stima mercato secondario</t>
  </si>
  <si>
    <t xml:space="preserve">Vendere refurtiva al proprio fence</t>
  </si>
  <si>
    <t xml:space="preserve">Compravendita</t>
  </si>
  <si>
    <t xml:space="preserve">Il fence paga ~30% del valore di mercato della refurtiva</t>
  </si>
  <si>
    <t xml:space="preserve">Comprare informazioni su un bersaglio d'elite</t>
  </si>
  <si>
    <t xml:space="preserve">Stima servizi di intelligence criminale</t>
  </si>
  <si>
    <t xml:space="preserve">Vendere una soffiata compromettente a un rivale dell'organizzazione</t>
  </si>
  <si>
    <t xml:space="preserve">Estrema</t>
  </si>
  <si>
    <t xml:space="preserve">Sostituisce la precedente 'ricettazione di sabbia' (incompatibile: la sabbia esiste solo dentro le persone, si cede solo con consenso anche estorto - non e' un bene fisico rivendibile a un fence). Qui il pagamento arriva direttamente da un rivale disposto a pagare per l'informazione.</t>
  </si>
  <si>
    <t xml:space="preserve">Comprare documenti falsi di alta qualita'</t>
  </si>
  <si>
    <t xml:space="preserve">Stima documenti falsi professionali</t>
  </si>
  <si>
    <t xml:space="preserve">Noleggiare un furgone blindato per un colpo</t>
  </si>
  <si>
    <t xml:space="preserve">Stima costo operazione</t>
  </si>
  <si>
    <t xml:space="preserve">Comprare i piani di sicurezza di una banca</t>
  </si>
  <si>
    <t xml:space="preserve">Stima intelligence criminale di alto livello</t>
  </si>
  <si>
    <t xml:space="preserve">Trovi un portafoglio, rintracci il proprietario e ti fai 'ricompensare' con le maniere forti</t>
  </si>
  <si>
    <t xml:space="preserve">Evento</t>
  </si>
  <si>
    <t xml:space="preserve">Corretto da 'ritrovamento impersonale' (la sabbia non si trova per terra): il portafoglio e' solo un indizio per risalire al proprietario, che cede sotto pressione</t>
  </si>
  <si>
    <t xml:space="preserve">Rintracci il proprietario di un portafoglio trovato e glielo restituisci</t>
  </si>
  <si>
    <t xml:space="preserve">Il proprietario, rintracciato di persona, ti ricompensa spontaneamente per la restituzione</t>
  </si>
  <si>
    <t xml:space="preserve">Testimoni un crimine di un pezzo grosso, lo ricatti</t>
  </si>
  <si>
    <t xml:space="preserve">Un piccolo criminale ti minaccia per strada e ti costringe a cedere sabbia</t>
  </si>
  <si>
    <t xml:space="preserve">Negativo</t>
  </si>
  <si>
    <t xml:space="preserve">Corretto da 'scippo silenzioso' (nessuno puo' prendere sabbia senza una decisione, anche coatta, della vittima): qui e' una minaccia esplicita che ti costringe a cedere</t>
  </si>
  <si>
    <t xml:space="preserve">Un vecchio socio propone un colpo last-minute</t>
  </si>
  <si>
    <t xml:space="preserve">Stima colpo di media entita'</t>
  </si>
  <si>
    <t xml:space="preserve">Controllo di polizia a sorpresa</t>
  </si>
  <si>
    <t xml:space="preserve">Pericoloso</t>
  </si>
  <si>
    <t xml:space="preserve">Stima multa/confisca</t>
  </si>
  <si>
    <t xml:space="preserve">Un'associazione benefica dona sabbia (rara)</t>
  </si>
  <si>
    <t xml:space="preserve">Stima donazione tipica</t>
  </si>
  <si>
    <t xml:space="preserve">Un associato a cui avevi affidato sabbia viene minacciato dai rivali e gliela cede</t>
  </si>
  <si>
    <t xml:space="preserve">Corretto da 'covo saccheggiato' (un nascondiglio fisico di sabbia non e' possibile, esiste solo dentro le persone): qui la perdita avviene perche' un associato di fiducia, sotto minaccia altrui, cede cio' che gli avevi affidato</t>
  </si>
  <si>
    <t xml:space="preserve">Un boss ti fa un favore avvelenato</t>
  </si>
  <si>
    <t xml:space="preserve">Ambigua (debito futuro)</t>
  </si>
  <si>
    <t xml:space="preserve">Poker in una bisca di quartiere</t>
  </si>
  <si>
    <t xml:space="preserve">Azzardo</t>
  </si>
  <si>
    <t xml:space="preserve">Stima vincita media, alta varianza</t>
  </si>
  <si>
    <t xml:space="preserve">Slot machine</t>
  </si>
  <si>
    <t xml:space="preserve">Valore atteso negativo tipico delle slot</t>
  </si>
  <si>
    <t xml:space="preserve">Scommesse su combattimenti clandestini</t>
  </si>
  <si>
    <t xml:space="preserve">Corse clandestine di alto livello</t>
  </si>
  <si>
    <t xml:space="preserve">Stima montepremi</t>
  </si>
  <si>
    <t xml:space="preserve">Tavolo VIP del boss della malavita</t>
  </si>
  <si>
    <t xml:space="preserve">Stima posta in gioco alta</t>
  </si>
  <si>
    <t xml:space="preserve">Lotteria clandestina della sabbia (jackpot raro)</t>
  </si>
  <si>
    <t xml:space="preserve">Ancorato a jackpot di lotterie locali importanti; 90% di rischio di non vincere nulla</t>
  </si>
  <si>
    <t xml:space="preserve">Piccolo furto (scippo)</t>
  </si>
  <si>
    <t xml:space="preserve">Furto</t>
  </si>
  <si>
    <t xml:space="preserve">Stima bottino medio di uno scippo</t>
  </si>
  <si>
    <t xml:space="preserve">Furto con scasso in un appartamento</t>
  </si>
  <si>
    <t xml:space="preserve">Stima bottino medio furto in abitazione</t>
  </si>
  <si>
    <t xml:space="preserve">Rapina a un negozio</t>
  </si>
  <si>
    <t xml:space="preserve">Crimine</t>
  </si>
  <si>
    <t xml:space="preserve">Dati FBI Bank Crime Statistics/UCR: media rapine commerciali/'da sportello' ~1.500-4.200€ equiv., non milioni</t>
  </si>
  <si>
    <t xml:space="preserve">Rapina a un furgone blindato</t>
  </si>
  <si>
    <t xml:space="preserve">Stima colpo elaborato riuscito (sopra la media di una rapina da sportello)</t>
  </si>
  <si>
    <t xml:space="preserve">Rapina alla Banca della Sabbia Centrale (IL GRANDE COLPO)</t>
  </si>
  <si>
    <t xml:space="preserve">Grande colpo</t>
  </si>
  <si>
    <t xml:space="preserve">Colpo eccezionale con crew e insider, ancorato ai rari colpi-record storici, NON alla rapina media da sportello (Dati FBI Bank Crime Statistics/UCR: quella media frutta solo 4.200-9.600$)</t>
  </si>
  <si>
    <t xml:space="preserve">Minacciare un passante</t>
  </si>
  <si>
    <t xml:space="preserve">Minaccia 1 a 1</t>
  </si>
  <si>
    <t xml:space="preserve">Rapire l'erede di una famiglia ricca</t>
  </si>
  <si>
    <t xml:space="preserve">Stima su dati Control Risks (riscatti globali): mediana globale riscatti ~27-29mila$, ma famiglie facoltose (non ultra-miliardarie) tipicamente oltre il milione</t>
  </si>
  <si>
    <t xml:space="preserve">Colpo pianificato con la vecchia organizzazione</t>
  </si>
  <si>
    <t xml:space="preserve">Crimine organizzato</t>
  </si>
  <si>
    <t xml:space="preserve">Molto sporca</t>
  </si>
  <si>
    <t xml:space="preserve">Stima colpo di medio livello organizzato</t>
  </si>
  <si>
    <t xml:space="preserve">Fare da sicario per un contratto d'elite</t>
  </si>
  <si>
    <t xml:space="preserve">Stima compenso per un bersaglio di alto profilo</t>
  </si>
  <si>
    <t xml:space="preserve">Sabotare un concorrente dell'organizzazione</t>
  </si>
  <si>
    <t xml:space="preserve">Rubare un'auto (strumentale)</t>
  </si>
  <si>
    <t xml:space="preserve">Strumentale, nessun guadagno diretto in questo prototipo</t>
  </si>
  <si>
    <t xml:space="preserve">Estorsione a un piccolo imprenditore (pizzo)</t>
  </si>
  <si>
    <t xml:space="preserve">Stima pizzo mensile a una piccola attivita'</t>
  </si>
  <si>
    <t xml:space="preserve">Ricatto a un politico corrotto</t>
  </si>
  <si>
    <t xml:space="preserve">Stima pagamento per materiale compromettente di alto livello</t>
  </si>
  <si>
    <t xml:space="preserve">Comprare un pasto</t>
  </si>
  <si>
    <t xml:space="preserve">Bisogni</t>
  </si>
  <si>
    <t xml:space="preserve">Neutra (saltabile)</t>
  </si>
  <si>
    <t xml:space="preserve">Pasto economico medio</t>
  </si>
  <si>
    <t xml:space="preserve">Fare benzina</t>
  </si>
  <si>
    <t xml:space="preserve">Pieno parziale stimato</t>
  </si>
  <si>
    <t xml:space="preserve">Riposare (dormire)</t>
  </si>
  <si>
    <t xml:space="preserve">Chiedere un favore importante a un vecchio boss</t>
  </si>
  <si>
    <t xml:space="preserve">Relazioni</t>
  </si>
  <si>
    <t xml:space="preserve">Corrompere un poliziotto</t>
  </si>
  <si>
    <t xml:space="preserve">Corruzione</t>
  </si>
  <si>
    <t xml:space="preserve">Stima bustarella per evitare un arresto minore</t>
  </si>
  <si>
    <t xml:space="preserve">Corrompere un giudice per far cadere un'accusa</t>
  </si>
  <si>
    <t xml:space="preserve">Corruzione di alto livello, importi molto piu' alti di un poliziotto</t>
  </si>
  <si>
    <t xml:space="preserve">Fare l'informatore per la polizia (tradimento)</t>
  </si>
  <si>
    <t xml:space="preserve">Tradimento</t>
  </si>
  <si>
    <t xml:space="preserve">Stima compenso per informazioni decisive contro l'organizzazione</t>
  </si>
  <si>
    <t xml:space="preserve">Donare sabbia a un bisognoso</t>
  </si>
  <si>
    <t xml:space="preserve">Altruismo</t>
  </si>
  <si>
    <t xml:space="preserve">Visitare la figlia in ospedale</t>
  </si>
  <si>
    <t xml:space="preserve">Narrativo</t>
  </si>
  <si>
    <t xml:space="preserve">Riattivare un vecchio contatto della rete criminale</t>
  </si>
  <si>
    <t xml:space="preserve">Ambigua (apre azioni di alto livello)</t>
  </si>
  <si>
    <t xml:space="preserve">Nessun guadagno diretto, e' un prerequisito narrativo</t>
  </si>
  <si>
    <t xml:space="preserve">Ripagare un vecchio debito d'onore</t>
  </si>
  <si>
    <t xml:space="preserve">Stima importo debito</t>
  </si>
  <si>
    <t xml:space="preserve">Aggiungi altre righe qui sotto per nuove azioni (il Simulatore le trova automaticamente, range fino a riga 150). Cambia il salario mediano in B2 per ricalibrare TUTTA l'economia con un solo numero.</t>
  </si>
  <si>
    <t xml:space="preserve">Simulatore di run — scegli una sequenza di azioni e guarda l'esito</t>
  </si>
  <si>
    <t xml:space="preserve">Tempo iniziale figlia (ore) - 168 = una settimana</t>
  </si>
  <si>
    <t xml:space="preserve">Sabbia iniziale padre (ore) - riserva volutamente minima</t>
  </si>
  <si>
    <t xml:space="preserve">Turno</t>
  </si>
  <si>
    <t xml:space="preserve">Azione (scrivi esattamente come nel foglio Azioni)</t>
  </si>
  <si>
    <t xml:space="preserve">Costo Tempo (ore)</t>
  </si>
  <si>
    <t xml:space="preserve">Effetto Sabbia (ore)</t>
  </si>
  <si>
    <t xml:space="preserve">Tempo-Figlia rimasto (ore)</t>
  </si>
  <si>
    <t xml:space="preserve">Sabbia-Padre accumulata (ore)</t>
  </si>
  <si>
    <t xml:space="preserve">Sabbia-Padre (anni equiv.)</t>
  </si>
  <si>
    <t xml:space="preserve">Giorno (circa, 24h=1gg)</t>
  </si>
  <si>
    <t xml:space="preserve">Stato</t>
  </si>
  <si>
    <t xml:space="preserve">RIEPILOGO FINALE</t>
  </si>
  <si>
    <t xml:space="preserve">Tempo-Figlia rimasto alla fine (ore)</t>
  </si>
  <si>
    <t xml:space="preserve">Sabbia-Padre accumulata alla fine (ore)</t>
  </si>
  <si>
    <t xml:space="preserve">Sabbia-Padre accumulata alla fine (anni)</t>
  </si>
  <si>
    <t xml:space="preserve">Sabbia donata alla figlia (ore) - decisione tua</t>
  </si>
  <si>
    <t xml:space="preserve">Sabbia tenuta per se' (ore)</t>
  </si>
  <si>
    <t xml:space="preserve">ENDGAME — Tracce, Risorse, Sottotrame, Sinergie</t>
  </si>
  <si>
    <t xml:space="preserve">Sistema per rendere raggiungibile - ma molto raro - il traguardo dei 100 anni per il padre + 100 per la figlia in una singola settimana. Vedi il documento Word, sezione dedicata, per la spiegazione narrativa completa e i risultati della simulazione.</t>
  </si>
  <si>
    <t xml:space="preserve">1. LE 5 RISORSE</t>
  </si>
  <si>
    <t xml:space="preserve">Risorsa</t>
  </si>
  <si>
    <t xml:space="preserve">Tipo</t>
  </si>
  <si>
    <t xml:space="preserve">Effetto in gioco</t>
  </si>
  <si>
    <t xml:space="preserve">Come sale</t>
  </si>
  <si>
    <t xml:space="preserve">Come scende</t>
  </si>
  <si>
    <t xml:space="preserve">Attenzione Polizia</t>
  </si>
  <si>
    <t xml:space="preserve">Globale (per run)</t>
  </si>
  <si>
    <t xml:space="preserve">Alza il rischio % di tutte le azioni illegali; oltre 50 indagini attive, oltre 75 retata imminente</t>
  </si>
  <si>
    <t xml:space="preserve">Azioni criminali/rischiose</t>
  </si>
  <si>
    <t xml:space="preserve">Tempo passato senza agire, corruzione dedicata</t>
  </si>
  <si>
    <t xml:space="preserve">Rivalita' Criminale</t>
  </si>
  <si>
    <t xml:space="preserve">Alza il rischio di agguati/tradimenti; oltre 50 un rivale si muove, oltre 75 agguato pianificato</t>
  </si>
  <si>
    <t xml:space="preserve">Salire di rango, soppiantare boss/gestori</t>
  </si>
  <si>
    <t xml:space="preserve">Tempo, favori/tributi ai rivali</t>
  </si>
  <si>
    <t xml:space="preserve">Fama Pubblica</t>
  </si>
  <si>
    <t xml:space="preserve">Alza il rischio di ogni azione criminale contemporanea (piu' sei visibile, piu' sei osservato)</t>
  </si>
  <si>
    <t xml:space="preserve">Ranghi pubblici/legittimi (Direttore, Burattinaio, Capo di culto tollerato)</t>
  </si>
  <si>
    <t xml:space="preserve">Basso profilo, tempo</t>
  </si>
  <si>
    <t xml:space="preserve">Karma</t>
  </si>
  <si>
    <t xml:space="preserve">PERSISTENTE tra le run (unica)</t>
  </si>
  <si>
    <t xml:space="preserve">Alza frequenza/gravita' degli eventi negativi casuali; e' cio' che la voce della madre intende con 'la sabbia non dimentica'</t>
  </si>
  <si>
    <t xml:space="preserve">Azioni immorali (peso preso dalla colonna Moralita': Ambigua +1, Sporca +2, Molto sporca +3, Estrema +5)</t>
  </si>
  <si>
    <t xml:space="preserve">Azioni pulite/altruiste (-1); un patto con lo Stregatto (prezzo alto)</t>
  </si>
  <si>
    <t xml:space="preserve">Fede (del Culto / della Setta)</t>
  </si>
  <si>
    <t xml:space="preserve">Locale, una per traccia religiosa</t>
  </si>
  <si>
    <t xml:space="preserve">Determina l'avanzamento di rango nelle tracce Religiosa e Occulto; le due Fedi sono in tensione tra loro</t>
  </si>
  <si>
    <t xml:space="preserve">Rituali/devozione coerenti con quella fede</t>
  </si>
  <si>
    <t xml:space="preserve">Azioni della fede rivale, tempo di inattivita'</t>
  </si>
  <si>
    <t xml:space="preserve">2. LE 7 TRACCE NORMALI (sblocco sempre via malavita/rete di contatti)</t>
  </si>
  <si>
    <t xml:space="preserve">Traccia</t>
  </si>
  <si>
    <t xml:space="preserve">Rango</t>
  </si>
  <si>
    <t xml:space="preserve">Rischio %</t>
  </si>
  <si>
    <t xml:space="preserve">Note</t>
  </si>
  <si>
    <t xml:space="preserve">Rango 1 - Caposquadra</t>
  </si>
  <si>
    <t xml:space="preserve">~90.000€: piccola somma ottenuta ricattando il capo attuale, non ancora un vero schema di appropriazione indebita</t>
  </si>
  <si>
    <t xml:space="preserve">Rango 2 - Direttore</t>
  </si>
  <si>
    <t xml:space="preserve">~1,4M€: ordine di grandezza di uno schema di appropriazione indebita dirigenziale di media durata (perdita mediana dirigenti 337.000$ per singolo caso, fino a 2,2M$ su 5 anni - fonti ACFE/Hiscox/BERO Group). Sblocca 'Intascare la percentuale della squadra'</t>
  </si>
  <si>
    <t xml:space="preserve">Criminale</t>
  </si>
  <si>
    <t xml:space="preserve">Rango 1 - Luogotenente</t>
  </si>
  <si>
    <t xml:space="preserve">~130.000€: prima quota di fiducia ottenuta dall'organizzazione. Prova di lealta'</t>
  </si>
  <si>
    <t xml:space="preserve">Rango 2 - Boss</t>
  </si>
  <si>
    <t xml:space="preserve">~1,85M€: stima per ordine di grandezza, incasso settimanale aggregato di un'organizzazione criminale di medio livello. Tradisci/elimini/soppianti il vecchio boss</t>
  </si>
  <si>
    <t xml:space="preserve">Politica</t>
  </si>
  <si>
    <t xml:space="preserve">Rango 1 - Fixer di un politico</t>
  </si>
  <si>
    <t xml:space="preserve">~260.000€: primo compenso per un favore politico procurato con materiale compromettente</t>
  </si>
  <si>
    <t xml:space="preserve">Rango 2 - Burattinaio</t>
  </si>
  <si>
    <t xml:space="preserve">~2,1M€: stima per ordine di grandezza da scandali di corruzione politica locale documentati. Controlli di fatto le sue decisioni</t>
  </si>
  <si>
    <t xml:space="preserve">Rango 1 - Giocatore riconosciuto</t>
  </si>
  <si>
    <t xml:space="preserve">~260.000€: prima vincita significativa che apre l'accesso ai tavoli alti</t>
  </si>
  <si>
    <t xml:space="preserve">Rango 2 - Gestore di una bisca</t>
  </si>
  <si>
    <t xml:space="preserve">~1,95M€: stima su incassi di bische clandestine di alto livello sequestrate in operazioni di polizia reali. Soppianti il gestore rivale</t>
  </si>
  <si>
    <t xml:space="preserve">Bancaria</t>
  </si>
  <si>
    <t xml:space="preserve">Rango 1 - Insider corrotto</t>
  </si>
  <si>
    <t xml:space="preserve">~390.000€: primo pagamento per informazioni bancarie riservate</t>
  </si>
  <si>
    <t xml:space="preserve">Rango 2 - Direttore di filiale in pugno</t>
  </si>
  <si>
    <t xml:space="preserve">~2,85M€: ordine di grandezza di uno schema di appropriazione indebita bancaria pluriennale (perdita mediana schemi da 10 anni 5,4M$ - fonte BERO Group). Ricatto pesante e continuativo</t>
  </si>
  <si>
    <t xml:space="preserve">Religiosa (indulgenze)</t>
  </si>
  <si>
    <t xml:space="preserve">Rango 1 - Predicatore/venditore di reliquie false</t>
  </si>
  <si>
    <t xml:space="preserve">~260.000€: prime offerte raccolte con il racket delle indulgenze</t>
  </si>
  <si>
    <t xml:space="preserve">Rango 2 - Capo di un culto tollerato</t>
  </si>
  <si>
    <t xml:space="preserve">~1,95M€: stima per ordine di grandezza da casi reali documentati di frode religiosa/culto di alto profilo. I fedeli cedono sabbia per la 'salvezza' (Fede del Culto)</t>
  </si>
  <si>
    <t xml:space="preserve">Occulto (setta satanica)</t>
  </si>
  <si>
    <t xml:space="preserve">Rango 1 - Adepto</t>
  </si>
  <si>
    <t xml:space="preserve">~260.000€: piccola devozione ceduta dagli altri adepti</t>
  </si>
  <si>
    <t xml:space="preserve">Rango 2 - Capo della setta</t>
  </si>
  <si>
    <t xml:space="preserve">~1,95M€: stesso ordine di grandezza della traccia Religiosa. Flusso alto e costante (Fede della Setta); nessun legame con gli Eterni</t>
  </si>
  <si>
    <t xml:space="preserve">Nota: i costi qui sono in ore-tempo (asse Tempo-Figlia) e gli effetti in ore-sabbia (asse Sabbia-Padre), stessa logica del foglio Azioni. TUNING FINALE completato: valori ancorati a dati reali dove disponibili (schemi di appropriazione indebita dirigenziale/bancaria - fonti ACFE, Hiscox, BERO Group) e a stime per ordine di grandezza da casi documentati per il resto (criminalita' organizzata, corruzione politica, bische clandestine, frodi religiose), dichiarate esplicitamente come tali nella colonna Note.</t>
  </si>
  <si>
    <t xml:space="preserve">3. LE 3 TRACCE BONUS (narrative, nessun valore economico fisso)</t>
  </si>
  <si>
    <t xml:space="preserve">Eterni</t>
  </si>
  <si>
    <t xml:space="preserve">Scoperta opzionale tramite side quest rare. Nessun guadagno diretto: e' la sottotrama cosmologica del gioco (sezione 7 del documento).</t>
  </si>
  <si>
    <t xml:space="preserve">Rete di scienziati criminali</t>
  </si>
  <si>
    <t xml:space="preserve">Sbloccata da contatti criminali + fare da cavia per esperimenti. Cercano di estrarre sabbia senza consenso: minaccia di sistema parallela agli Eterni, non una fonte di reddito normale.</t>
  </si>
  <si>
    <t xml:space="preserve">Magica (perche' solo gli umani scambiano sabbia)</t>
  </si>
  <si>
    <t xml:space="preserve">Indipendente da Eterni e Occulto. Traccia di lore/scoperta, non di reddito.</t>
  </si>
  <si>
    <t xml:space="preserve">4. LE 10 SOTTOTRAME (valori ricalibrati dopo la simulazione)</t>
  </si>
  <si>
    <t xml:space="preserve">Sottotrama</t>
  </si>
  <si>
    <t xml:space="preserve">Il tesoro del vecchio boss</t>
  </si>
  <si>
    <t xml:space="preserve">~1,85M€: stima per ordine di grandezza, risparmio criminale accumulato in anni da un boss deceduto. Sabbia affidata a una persona di fiducia, da rintracciare</t>
  </si>
  <si>
    <t xml:space="preserve">L'asta dei secoli</t>
  </si>
  <si>
    <t xml:space="preserve">~2,35M€: stima su ordine di grandezza di aste di lusso/clandestine di altissimo profilo. Richiede documenti falsi di alta qualita' + un invito</t>
  </si>
  <si>
    <t xml:space="preserve">L'ultima donazione</t>
  </si>
  <si>
    <t xml:space="preserve">~1,3M€: stima su patrimoni netti individuali di fascia alta in punto di morte. Sostituisce 'Il registro dei non reclamati'</t>
  </si>
  <si>
    <t xml:space="preserve">Il patto con l'usuraio della mezzanotte</t>
  </si>
  <si>
    <t xml:space="preserve">~2,65M€: prestito equivalente, non un guadagno pulito - e' un debito enorme da restituire, non uno stipendio. Ribilanciato rispetto alla prima versione (era sproporzionato)</t>
  </si>
  <si>
    <t xml:space="preserve">La cripta della setta degli eterni</t>
  </si>
  <si>
    <t xml:space="preserve">~3,95M€: ordine di grandezza di grandi patrimoni ecclesiastici/settari accumulati nei secoli, documentati storicamente in casi analoghi. Dopo questa azione il rischio sale per il resto della run</t>
  </si>
  <si>
    <t xml:space="preserve">Il grande torneo dei senza-tempo</t>
  </si>
  <si>
    <t xml:space="preserve">~3,15M€: stima, montepremi aggregato di piu' round di scommesse estreme. Ritiro possibile in ogni momento</t>
  </si>
  <si>
    <t xml:space="preserve">Il crollo della casata [nome da assegnare]</t>
  </si>
  <si>
    <t xml:space="preserve">~4,45M€: ordine di grandezza di grandi patrimoni familiari aristocratici europei storici documentati. A piu' fasi: prove, ricatto, colpo finale</t>
  </si>
  <si>
    <t xml:space="preserve">La fuga dal purgatorio dei debitori</t>
  </si>
  <si>
    <t xml:space="preserve">~1,55M€: stima, debiti aggregati dei prigionieri liberati/derubati. Di piu' se non liberi gli altri prigionieri</t>
  </si>
  <si>
    <t xml:space="preserve">Il tavolo dei senza fondo</t>
  </si>
  <si>
    <t xml:space="preserve">~2,85M€: stima, puntate aggregate di un tavolo clandestino ad altissimo livello. Accesso solo su garanzia di un boss</t>
  </si>
  <si>
    <t xml:space="preserve">La cassa di guerra della vecchia organizzazione</t>
  </si>
  <si>
    <t xml:space="preserve">~2,35M€: stima, fondo di riserva collettivo di un'organizzazione criminale (contributi 'assicurativi' di piu' membri). Tradisce l'intera organizzazione, non un singolo bersaglio</t>
  </si>
  <si>
    <t xml:space="preserve">5. SINERGIE TRA TRACCE</t>
  </si>
  <si>
    <t xml:space="preserve">Regola generale: raggiungere Rango 2 in N tracce diverse nella stessa run sblocca un'azione di 'cash-in' (costo indicativo 8h) che frutta [somma dei valori base delle N tracce] x moltiplicatore. Se scoperto, si perdono TUTTI i ranghi coinvolti nella combo, non solo uno.</t>
  </si>
  <si>
    <t xml:space="preserve">N tracce</t>
  </si>
  <si>
    <t xml:space="preserve">Moltiplicatore</t>
  </si>
  <si>
    <t xml:space="preserve">Raggiungibile in 168h?</t>
  </si>
  <si>
    <t xml:space="preserve">2 (coppia)</t>
  </si>
  <si>
    <t xml:space="preserve">x2</t>
  </si>
  <si>
    <t xml:space="preserve">Si'</t>
  </si>
  <si>
    <t xml:space="preserve">3 (tripletta)</t>
  </si>
  <si>
    <t xml:space="preserve">x4</t>
  </si>
  <si>
    <t xml:space="preserve">Si' - SOLO con la combo ottima, usa il 100% delle 168 ore</t>
  </si>
  <si>
    <t xml:space="preserve">4 (quadrupletta)</t>
  </si>
  <si>
    <t xml:space="preserve">x8</t>
  </si>
  <si>
    <t xml:space="preserve">NO in condizioni normali - matematicamente impossibile entro 168h. Raggiungibile SOLO tramite un patto con lo Stregatto che concede tempo/costi ridotti, a un prezzo altissimo.</t>
  </si>
  <si>
    <t xml:space="preserve">6. RISULTATI DELLA SIMULAZIONE (ricerca esaustiva su tutte le combinazioni entro 168 ore)</t>
  </si>
  <si>
    <t xml:space="preserve">Tetto massimo trovato: 208 anni totali, con la tripletta Azzardo + Bancaria + Religiosa (rango 2) + cash-in di sinergia, usando le 168 ore per intero.</t>
  </si>
  <si>
    <t xml:space="preserve">Probabilita' che ogni azione della catena riesca: 16,8% - coerente con 'molto molto molto difficile ma non impossibile'.</t>
  </si>
  <si>
    <t xml:space="preserve">Le sole sottotrame, senza nessuna traccia, arrivano al massimo a 100 anni (combinazione ottima entro 168h) - gia' un traguardo raro di per se'.</t>
  </si>
  <si>
    <t xml:space="preserve">Test di sensibilita' sulla scala del moltiplicatore: 1,5/2/3 -&gt; tetto 104 anni (troppo basso); 2/4/8 (adottata) -&gt; 208 anni; 2/5/12 -&gt; 260 anni; 3/9/27 -&gt; 468 anni (troppo generose, avrebbero reso il traguardo poco significativo).</t>
  </si>
  <si>
    <t xml:space="preserve">La strategia 'rischiosa' (tripletta) ha un valore ATTESO piu' basso (~35 anni) della strategia 'prudente' senza sinergie (~56 anni attesi, quasi sempre realizzabile): e' un vero biglietto della lotteria, non la scelta razionale per chi vuole massimizzare il punteggio medio su tante run - dinamica voluta, tipica dei roguelite.</t>
  </si>
  <si>
    <t xml:space="preserve">VALIDAZIONE MONTE CARLO (200.000 run simulate, +-15% varianza su costi, +-20% su guadagni, oltre ai normali tiri di rischio): la probabilita' di successo della combo ottima scende da 16,8% (calcolo deterministico) a 8,4% reale, perche' la varianza sui costi introduce un nuovo modo di fallire non previsto - sforare le 168 ore per accumulo di costi sfortunati (15,7% dei tentativi). Solo il 5,9% di TUTTI i tentativi raggiunge 200+ anni. La difficolta' reale e' quindi leggermente superiore alla stima statica, il che rafforza l'obiettivo 'molto molto molto difficile ma non impossibile' invece di indebolirlo.</t>
  </si>
  <si>
    <t xml:space="preserve">Il gioco e' stato esteso a roguelite: varianza su costi/guadagni/eventi con seed per run, bivi tra opzioni casuali generate dal pool, Rete di contatti come albero di sblocco permanente (amici/amici di amici/nemici - vedi documento Word sezione 12), Karma esteso a bipolare (-100/+100), difficolta' crescente dopo il primo 100+100 anni, seed del giorno condiviso con classifica.</t>
  </si>
</sst>
</file>

<file path=xl/styles.xml><?xml version="1.0" encoding="utf-8"?>
<styleSheet xmlns="http://schemas.openxmlformats.org/spreadsheetml/2006/main">
  <numFmts count="7">
    <numFmt numFmtId="164" formatCode="General"/>
    <numFmt numFmtId="165" formatCode="0.00"/>
    <numFmt numFmtId="166" formatCode="#,##0.0"/>
    <numFmt numFmtId="167" formatCode="#,##0&quot; €&quot;"/>
    <numFmt numFmtId="168" formatCode="0%"/>
    <numFmt numFmtId="169" formatCode="#,##0.00"/>
    <numFmt numFmtId="170"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color rgb="FF0000FF"/>
      <name val="Arial"/>
      <family val="0"/>
      <charset val="1"/>
    </font>
    <font>
      <b val="true"/>
      <sz val="12"/>
      <name val="Arial"/>
      <family val="0"/>
      <charset val="1"/>
    </font>
    <font>
      <b val="true"/>
      <sz val="11"/>
      <color rgb="FFFFFFFF"/>
      <name val="Arial"/>
      <family val="0"/>
      <charset val="1"/>
    </font>
    <font>
      <sz val="11"/>
      <color rgb="FF000000"/>
      <name val="Arial"/>
      <family val="0"/>
      <charset val="1"/>
    </font>
    <font>
      <i val="true"/>
      <sz val="9"/>
      <name val="Arial"/>
      <family val="0"/>
      <charset val="1"/>
    </font>
    <font>
      <b val="true"/>
      <sz val="13"/>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404040"/>
        <bgColor rgb="FF3333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8" fontId="6" fillId="4"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70" fontId="6" fillId="0" borderId="1" xfId="0" applyFont="true" applyBorder="true" applyAlignment="true" applyProtection="false">
      <alignment horizontal="general" vertical="bottom" textRotation="0" wrapText="true" indent="0" shrinkToFit="false"/>
      <protection locked="true" hidden="false"/>
    </xf>
    <xf numFmtId="168" fontId="6" fillId="0" borderId="1" xfId="0" applyFont="true" applyBorder="true" applyAlignment="true" applyProtection="false">
      <alignment horizontal="general" vertical="bottom" textRotation="0" wrapText="true" indent="0" shrinkToFit="false"/>
      <protection locked="true" hidden="false"/>
    </xf>
    <xf numFmtId="170" fontId="6" fillId="4" borderId="1" xfId="0" applyFont="true" applyBorder="true" applyAlignment="true" applyProtection="false">
      <alignment horizontal="general" vertical="bottom" textRotation="0" wrapText="true" indent="0" shrinkToFit="false"/>
      <protection locked="true" hidden="false"/>
    </xf>
    <xf numFmtId="168" fontId="6" fillId="4"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8"/>
    <col collapsed="false" customWidth="true" hidden="false" outlineLevel="0" max="3" min="3" style="0" width="40"/>
  </cols>
  <sheetData>
    <row r="2" customFormat="false" ht="17.35" hidden="false" customHeight="false" outlineLevel="0" collapsed="false">
      <c r="B2" s="1" t="s">
        <v>0</v>
      </c>
    </row>
    <row r="4" customFormat="false" ht="15" hidden="false" customHeight="false" outlineLevel="0" collapsed="false">
      <c r="B4" s="2" t="s">
        <v>1</v>
      </c>
    </row>
    <row r="5" customFormat="false" ht="30" hidden="false" customHeight="true" outlineLevel="0" collapsed="false">
      <c r="B5" s="3" t="s">
        <v>2</v>
      </c>
    </row>
    <row r="7" customFormat="false" ht="15" hidden="false" customHeight="false" outlineLevel="0" collapsed="false">
      <c r="B7" s="2" t="s">
        <v>3</v>
      </c>
    </row>
    <row r="8" customFormat="false" ht="33.75" hidden="false" customHeight="true" outlineLevel="0" collapsed="false">
      <c r="B8" s="3" t="s">
        <v>4</v>
      </c>
    </row>
    <row r="9" customFormat="false" ht="33.75" hidden="false" customHeight="true" outlineLevel="0" collapsed="false">
      <c r="B9" s="3" t="s">
        <v>5</v>
      </c>
    </row>
    <row r="11" customFormat="false" ht="15" hidden="false" customHeight="false" outlineLevel="0" collapsed="false">
      <c r="B11" s="2" t="s">
        <v>6</v>
      </c>
    </row>
    <row r="12" customFormat="false" ht="15" hidden="false" customHeight="false" outlineLevel="0" collapsed="false">
      <c r="B12" s="4" t="s">
        <v>7</v>
      </c>
      <c r="C12" s="5" t="s">
        <v>8</v>
      </c>
    </row>
    <row r="13" customFormat="false" ht="15" hidden="false" customHeight="false" outlineLevel="0" collapsed="false">
      <c r="B13" s="0" t="s">
        <v>9</v>
      </c>
      <c r="C13" s="0" t="s">
        <v>10</v>
      </c>
    </row>
    <row r="14" customFormat="false" ht="15" hidden="false" customHeight="false" outlineLevel="0" collapsed="false">
      <c r="B14" s="6" t="s">
        <v>11</v>
      </c>
      <c r="C14" s="5" t="s">
        <v>12</v>
      </c>
    </row>
    <row r="16" customFormat="false" ht="15" hidden="false" customHeight="false" outlineLevel="0" collapsed="false">
      <c r="B16" s="2" t="s">
        <v>13</v>
      </c>
    </row>
    <row r="17" customFormat="false" ht="57.75" hidden="false" customHeight="true" outlineLevel="0" collapsed="false">
      <c r="B17" s="3" t="s">
        <v>14</v>
      </c>
    </row>
    <row r="18" customFormat="false" ht="57.75" hidden="false" customHeight="true" outlineLevel="0" collapsed="false">
      <c r="B18" s="3" t="s">
        <v>15</v>
      </c>
    </row>
    <row r="19" customFormat="false" ht="57.75" hidden="false" customHeight="true" outlineLevel="0" collapsed="false">
      <c r="B19" s="3" t="s">
        <v>16</v>
      </c>
    </row>
    <row r="20" customFormat="false" ht="57.75" hidden="false" customHeight="true" outlineLevel="0" collapsed="false">
      <c r="B20" s="3" t="s">
        <v>17</v>
      </c>
    </row>
    <row r="21" customFormat="false" ht="57.75" hidden="false" customHeight="true" outlineLevel="0" collapsed="false">
      <c r="B21" s="3" t="s">
        <v>18</v>
      </c>
    </row>
    <row r="22" customFormat="false" ht="57.75" hidden="false" customHeight="true" outlineLevel="0" collapsed="false">
      <c r="B22" s="3" t="s">
        <v>19</v>
      </c>
    </row>
    <row r="23" customFormat="false" ht="57.75" hidden="false" customHeight="true" outlineLevel="0" collapsed="false">
      <c r="B23" s="3" t="s">
        <v>20</v>
      </c>
    </row>
    <row r="24" customFormat="false" ht="57.75" hidden="false" customHeight="true" outlineLevel="0" collapsed="false">
      <c r="B24" s="3" t="s">
        <v>21</v>
      </c>
    </row>
    <row r="25" customFormat="false" ht="57.75" hidden="false" customHeight="true" outlineLevel="0" collapsed="false">
      <c r="B25" s="3" t="s">
        <v>22</v>
      </c>
    </row>
    <row r="26" customFormat="false" ht="57.75" hidden="false" customHeight="true" outlineLevel="0" collapsed="false">
      <c r="B26" s="3"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5" min="3" style="0" width="18"/>
    <col collapsed="false" customWidth="true" hidden="false" outlineLevel="0" max="7" min="6" style="0" width="16"/>
    <col collapsed="false" customWidth="true" hidden="false" outlineLevel="0" max="8" min="8" style="0" width="26"/>
    <col collapsed="false" customWidth="true" hidden="false" outlineLevel="0" max="9" min="9" style="0" width="46"/>
  </cols>
  <sheetData>
    <row r="1" customFormat="false" ht="15" hidden="false" customHeight="false" outlineLevel="0" collapsed="false">
      <c r="A1" s="7" t="s">
        <v>24</v>
      </c>
      <c r="B1" s="7"/>
      <c r="C1" s="7"/>
    </row>
    <row r="2" customFormat="false" ht="15" hidden="false" customHeight="false" outlineLevel="0" collapsed="false">
      <c r="A2" s="2" t="s">
        <v>25</v>
      </c>
      <c r="B2" s="8" t="n">
        <v>14.9</v>
      </c>
    </row>
    <row r="3" customFormat="false" ht="15" hidden="false" customHeight="false" outlineLevel="0" collapsed="false">
      <c r="A3" s="2" t="s">
        <v>26</v>
      </c>
      <c r="B3" s="9" t="n">
        <v>8760</v>
      </c>
    </row>
    <row r="5" customFormat="false" ht="39.75" hidden="false" customHeight="true" outlineLevel="0" collapsed="false">
      <c r="A5" s="10" t="s">
        <v>27</v>
      </c>
      <c r="B5" s="10" t="s">
        <v>28</v>
      </c>
      <c r="C5" s="10" t="s">
        <v>29</v>
      </c>
      <c r="D5" s="10" t="s">
        <v>30</v>
      </c>
      <c r="E5" s="10" t="s">
        <v>31</v>
      </c>
      <c r="F5" s="10" t="s">
        <v>32</v>
      </c>
      <c r="G5" s="10" t="s">
        <v>33</v>
      </c>
      <c r="H5" s="10" t="s">
        <v>34</v>
      </c>
      <c r="I5" s="10" t="s">
        <v>35</v>
      </c>
    </row>
    <row r="6" customFormat="false" ht="15" hidden="false" customHeight="false" outlineLevel="0" collapsed="false">
      <c r="A6" s="11" t="s">
        <v>36</v>
      </c>
      <c r="B6" s="11" t="s">
        <v>37</v>
      </c>
      <c r="C6" s="12" t="n">
        <v>8</v>
      </c>
      <c r="D6" s="13" t="n">
        <v>89</v>
      </c>
      <c r="E6" s="14" t="n">
        <f aca="false">D6/$B$2</f>
        <v>5.97315436241611</v>
      </c>
      <c r="F6" s="15" t="n">
        <f aca="false">E6/$B$3</f>
        <v>0.000681866936348871</v>
      </c>
      <c r="G6" s="16" t="n">
        <v>0</v>
      </c>
      <c r="H6" s="11" t="s">
        <v>38</v>
      </c>
      <c r="I6" s="17" t="s">
        <v>39</v>
      </c>
    </row>
    <row r="7" customFormat="false" ht="15" hidden="false" customHeight="false" outlineLevel="0" collapsed="false">
      <c r="A7" s="18" t="s">
        <v>40</v>
      </c>
      <c r="B7" s="18" t="s">
        <v>37</v>
      </c>
      <c r="C7" s="19" t="n">
        <v>16</v>
      </c>
      <c r="D7" s="20" t="n">
        <v>224</v>
      </c>
      <c r="E7" s="21" t="n">
        <f aca="false">D7/$B$2</f>
        <v>15.0335570469799</v>
      </c>
      <c r="F7" s="22" t="n">
        <f aca="false">E7/$B$3</f>
        <v>0.00171615948024884</v>
      </c>
      <c r="G7" s="23" t="n">
        <v>0.05</v>
      </c>
      <c r="H7" s="18" t="s">
        <v>41</v>
      </c>
      <c r="I7" s="24" t="s">
        <v>42</v>
      </c>
    </row>
    <row r="8" customFormat="false" ht="22.35" hidden="false" customHeight="false" outlineLevel="0" collapsed="false">
      <c r="A8" s="11" t="s">
        <v>43</v>
      </c>
      <c r="B8" s="11" t="s">
        <v>37</v>
      </c>
      <c r="C8" s="12" t="n">
        <v>72</v>
      </c>
      <c r="D8" s="13" t="n">
        <v>698</v>
      </c>
      <c r="E8" s="14" t="n">
        <f aca="false">D8/$B$2</f>
        <v>46.8456375838926</v>
      </c>
      <c r="F8" s="15" t="n">
        <f aca="false">E8/$B$3</f>
        <v>0.00534767552327541</v>
      </c>
      <c r="G8" s="16" t="n">
        <v>0.2</v>
      </c>
      <c r="H8" s="11" t="s">
        <v>44</v>
      </c>
      <c r="I8" s="17" t="s">
        <v>45</v>
      </c>
    </row>
    <row r="9" customFormat="false" ht="15" hidden="false" customHeight="false" outlineLevel="0" collapsed="false">
      <c r="A9" s="18" t="s">
        <v>46</v>
      </c>
      <c r="B9" s="18" t="s">
        <v>37</v>
      </c>
      <c r="C9" s="19" t="n">
        <v>24</v>
      </c>
      <c r="D9" s="20" t="n">
        <v>536</v>
      </c>
      <c r="E9" s="21" t="n">
        <f aca="false">D9/$B$2</f>
        <v>35.9731543624161</v>
      </c>
      <c r="F9" s="22" t="n">
        <f aca="false">E9/$B$3</f>
        <v>0.00410652447059545</v>
      </c>
      <c r="G9" s="23" t="n">
        <v>0.15</v>
      </c>
      <c r="H9" s="18" t="s">
        <v>44</v>
      </c>
      <c r="I9" s="24" t="s">
        <v>47</v>
      </c>
    </row>
    <row r="10" customFormat="false" ht="15" hidden="false" customHeight="false" outlineLevel="0" collapsed="false">
      <c r="A10" s="11" t="s">
        <v>48</v>
      </c>
      <c r="B10" s="11" t="s">
        <v>37</v>
      </c>
      <c r="C10" s="12" t="n">
        <v>48</v>
      </c>
      <c r="D10" s="13" t="n">
        <v>1341</v>
      </c>
      <c r="E10" s="14" t="n">
        <f aca="false">D10/$B$2</f>
        <v>90</v>
      </c>
      <c r="F10" s="15" t="n">
        <f aca="false">E10/$B$3</f>
        <v>0.0102739726027397</v>
      </c>
      <c r="G10" s="16" t="n">
        <v>0.05</v>
      </c>
      <c r="H10" s="11" t="s">
        <v>49</v>
      </c>
      <c r="I10" s="17" t="s">
        <v>50</v>
      </c>
    </row>
    <row r="11" customFormat="false" ht="22.35" hidden="false" customHeight="false" outlineLevel="0" collapsed="false">
      <c r="A11" s="18" t="s">
        <v>51</v>
      </c>
      <c r="B11" s="18" t="s">
        <v>37</v>
      </c>
      <c r="C11" s="19" t="n">
        <v>2</v>
      </c>
      <c r="D11" s="20" t="n">
        <v>652620</v>
      </c>
      <c r="E11" s="21" t="n">
        <f aca="false">D11/$B$2</f>
        <v>43800</v>
      </c>
      <c r="F11" s="22" t="n">
        <f aca="false">E11/$B$3</f>
        <v>5</v>
      </c>
      <c r="G11" s="23" t="n">
        <v>0</v>
      </c>
      <c r="H11" s="18" t="s">
        <v>52</v>
      </c>
      <c r="I11" s="24" t="s">
        <v>53</v>
      </c>
    </row>
    <row r="12" customFormat="false" ht="15" hidden="false" customHeight="false" outlineLevel="0" collapsed="false">
      <c r="A12" s="11" t="s">
        <v>54</v>
      </c>
      <c r="B12" s="11" t="s">
        <v>37</v>
      </c>
      <c r="C12" s="12" t="n">
        <v>6</v>
      </c>
      <c r="D12" s="13" t="n">
        <v>1500</v>
      </c>
      <c r="E12" s="14" t="n">
        <f aca="false">D12/$B$2</f>
        <v>100.671140939597</v>
      </c>
      <c r="F12" s="15" t="n">
        <f aca="false">E12/$B$3</f>
        <v>0.0114921393766664</v>
      </c>
      <c r="G12" s="16" t="n">
        <v>0.35</v>
      </c>
      <c r="H12" s="11" t="s">
        <v>55</v>
      </c>
      <c r="I12" s="17" t="s">
        <v>56</v>
      </c>
    </row>
    <row r="13" customFormat="false" ht="15" hidden="false" customHeight="false" outlineLevel="0" collapsed="false">
      <c r="A13" s="18" t="s">
        <v>57</v>
      </c>
      <c r="B13" s="18" t="s">
        <v>58</v>
      </c>
      <c r="C13" s="19" t="n">
        <v>8</v>
      </c>
      <c r="D13" s="20" t="n">
        <v>20</v>
      </c>
      <c r="E13" s="21" t="n">
        <f aca="false">D13/$B$2</f>
        <v>1.34228187919463</v>
      </c>
      <c r="F13" s="22" t="n">
        <f aca="false">E13/$B$3</f>
        <v>0.000153228525022218</v>
      </c>
      <c r="G13" s="23" t="n">
        <v>0.05</v>
      </c>
      <c r="H13" s="18" t="s">
        <v>59</v>
      </c>
      <c r="I13" s="24" t="s">
        <v>60</v>
      </c>
    </row>
    <row r="14" customFormat="false" ht="15" hidden="false" customHeight="false" outlineLevel="0" collapsed="false">
      <c r="A14" s="11" t="s">
        <v>61</v>
      </c>
      <c r="B14" s="11" t="s">
        <v>58</v>
      </c>
      <c r="C14" s="12" t="n">
        <v>5</v>
      </c>
      <c r="D14" s="13" t="n">
        <v>10</v>
      </c>
      <c r="E14" s="14" t="n">
        <f aca="false">D14/$B$2</f>
        <v>0.671140939597316</v>
      </c>
      <c r="F14" s="15" t="n">
        <f aca="false">E14/$B$3</f>
        <v>7.66142625111091E-005</v>
      </c>
      <c r="G14" s="16" t="n">
        <v>0.05</v>
      </c>
      <c r="H14" s="11" t="s">
        <v>62</v>
      </c>
      <c r="I14" s="17" t="s">
        <v>63</v>
      </c>
    </row>
    <row r="15" customFormat="false" ht="15" hidden="false" customHeight="false" outlineLevel="0" collapsed="false">
      <c r="A15" s="18" t="s">
        <v>64</v>
      </c>
      <c r="B15" s="18" t="s">
        <v>58</v>
      </c>
      <c r="C15" s="19" t="n">
        <v>6</v>
      </c>
      <c r="D15" s="20" t="n">
        <v>40</v>
      </c>
      <c r="E15" s="21" t="n">
        <f aca="false">D15/$B$2</f>
        <v>2.68456375838926</v>
      </c>
      <c r="F15" s="22" t="n">
        <f aca="false">E15/$B$3</f>
        <v>0.000306457050044436</v>
      </c>
      <c r="G15" s="23" t="n">
        <v>0</v>
      </c>
      <c r="H15" s="18" t="s">
        <v>38</v>
      </c>
      <c r="I15" s="24" t="s">
        <v>65</v>
      </c>
    </row>
    <row r="16" customFormat="false" ht="15" hidden="false" customHeight="false" outlineLevel="0" collapsed="false">
      <c r="A16" s="11" t="s">
        <v>66</v>
      </c>
      <c r="B16" s="11" t="s">
        <v>58</v>
      </c>
      <c r="C16" s="12" t="n">
        <v>1</v>
      </c>
      <c r="D16" s="13" t="n">
        <v>200</v>
      </c>
      <c r="E16" s="14" t="n">
        <f aca="false">D16/$B$2</f>
        <v>13.4228187919463</v>
      </c>
      <c r="F16" s="15" t="n">
        <f aca="false">E16/$B$3</f>
        <v>0.00153228525022218</v>
      </c>
      <c r="G16" s="16" t="n">
        <v>0</v>
      </c>
      <c r="H16" s="11" t="s">
        <v>67</v>
      </c>
      <c r="I16" s="17" t="s">
        <v>68</v>
      </c>
    </row>
    <row r="17" customFormat="false" ht="15" hidden="false" customHeight="false" outlineLevel="0" collapsed="false">
      <c r="A17" s="18" t="s">
        <v>69</v>
      </c>
      <c r="B17" s="18" t="s">
        <v>58</v>
      </c>
      <c r="C17" s="19" t="n">
        <v>4</v>
      </c>
      <c r="D17" s="20" t="n">
        <v>35</v>
      </c>
      <c r="E17" s="21" t="n">
        <f aca="false">D17/$B$2</f>
        <v>2.3489932885906</v>
      </c>
      <c r="F17" s="22" t="n">
        <f aca="false">E17/$B$3</f>
        <v>0.000268149918788882</v>
      </c>
      <c r="G17" s="23" t="n">
        <v>0.1</v>
      </c>
      <c r="H17" s="18" t="s">
        <v>44</v>
      </c>
      <c r="I17" s="24" t="s">
        <v>70</v>
      </c>
    </row>
    <row r="18" customFormat="false" ht="15" hidden="false" customHeight="false" outlineLevel="0" collapsed="false">
      <c r="A18" s="11" t="s">
        <v>71</v>
      </c>
      <c r="B18" s="11" t="s">
        <v>58</v>
      </c>
      <c r="C18" s="12" t="n">
        <v>3</v>
      </c>
      <c r="D18" s="13" t="n">
        <v>50</v>
      </c>
      <c r="E18" s="14" t="n">
        <f aca="false">D18/$B$2</f>
        <v>3.35570469798658</v>
      </c>
      <c r="F18" s="15" t="n">
        <f aca="false">E18/$B$3</f>
        <v>0.000383071312555545</v>
      </c>
      <c r="G18" s="16" t="n">
        <v>0.05</v>
      </c>
      <c r="H18" s="11" t="s">
        <v>44</v>
      </c>
      <c r="I18" s="17" t="s">
        <v>72</v>
      </c>
    </row>
    <row r="19" customFormat="false" ht="15" hidden="false" customHeight="false" outlineLevel="0" collapsed="false">
      <c r="A19" s="18" t="s">
        <v>73</v>
      </c>
      <c r="B19" s="18" t="s">
        <v>74</v>
      </c>
      <c r="C19" s="19" t="n">
        <v>0</v>
      </c>
      <c r="D19" s="20" t="n">
        <v>-800</v>
      </c>
      <c r="E19" s="21" t="n">
        <f aca="false">D19/$B$2</f>
        <v>-53.6912751677852</v>
      </c>
      <c r="F19" s="22" t="n">
        <f aca="false">E19/$B$3</f>
        <v>-0.00612914100088873</v>
      </c>
      <c r="G19" s="23" t="n">
        <v>0</v>
      </c>
      <c r="H19" s="18" t="s">
        <v>62</v>
      </c>
      <c r="I19" s="24" t="s">
        <v>75</v>
      </c>
    </row>
    <row r="20" customFormat="false" ht="15" hidden="false" customHeight="false" outlineLevel="0" collapsed="false">
      <c r="A20" s="11" t="s">
        <v>76</v>
      </c>
      <c r="B20" s="11" t="s">
        <v>74</v>
      </c>
      <c r="C20" s="12" t="n">
        <v>0</v>
      </c>
      <c r="D20" s="13" t="n">
        <v>-400</v>
      </c>
      <c r="E20" s="14" t="n">
        <f aca="false">D20/$B$2</f>
        <v>-26.8456375838926</v>
      </c>
      <c r="F20" s="15" t="n">
        <f aca="false">E20/$B$3</f>
        <v>-0.00306457050044436</v>
      </c>
      <c r="G20" s="16" t="n">
        <v>0</v>
      </c>
      <c r="H20" s="11" t="s">
        <v>62</v>
      </c>
      <c r="I20" s="17" t="s">
        <v>77</v>
      </c>
    </row>
    <row r="21" customFormat="false" ht="15" hidden="false" customHeight="false" outlineLevel="0" collapsed="false">
      <c r="A21" s="18" t="s">
        <v>78</v>
      </c>
      <c r="B21" s="18" t="s">
        <v>79</v>
      </c>
      <c r="C21" s="19" t="n">
        <v>2</v>
      </c>
      <c r="D21" s="20" t="n">
        <v>150</v>
      </c>
      <c r="E21" s="21" t="n">
        <f aca="false">D21/$B$2</f>
        <v>10.0671140939597</v>
      </c>
      <c r="F21" s="22" t="n">
        <f aca="false">E21/$B$3</f>
        <v>0.00114921393766664</v>
      </c>
      <c r="G21" s="23" t="n">
        <v>0.15</v>
      </c>
      <c r="H21" s="18" t="s">
        <v>55</v>
      </c>
      <c r="I21" s="24" t="s">
        <v>80</v>
      </c>
    </row>
    <row r="22" customFormat="false" ht="15" hidden="false" customHeight="false" outlineLevel="0" collapsed="false">
      <c r="A22" s="11" t="s">
        <v>81</v>
      </c>
      <c r="B22" s="11" t="s">
        <v>79</v>
      </c>
      <c r="C22" s="12" t="n">
        <v>4</v>
      </c>
      <c r="D22" s="13" t="n">
        <v>-1500</v>
      </c>
      <c r="E22" s="14" t="n">
        <f aca="false">D22/$B$2</f>
        <v>-100.671140939597</v>
      </c>
      <c r="F22" s="15" t="n">
        <f aca="false">E22/$B$3</f>
        <v>-0.0114921393766664</v>
      </c>
      <c r="G22" s="16" t="n">
        <v>0.05</v>
      </c>
      <c r="H22" s="11" t="s">
        <v>44</v>
      </c>
      <c r="I22" s="17" t="s">
        <v>82</v>
      </c>
    </row>
    <row r="23" customFormat="false" ht="53.7" hidden="false" customHeight="false" outlineLevel="0" collapsed="false">
      <c r="A23" s="18" t="s">
        <v>83</v>
      </c>
      <c r="B23" s="18" t="s">
        <v>79</v>
      </c>
      <c r="C23" s="19" t="n">
        <v>2</v>
      </c>
      <c r="D23" s="20" t="n">
        <v>5000</v>
      </c>
      <c r="E23" s="21" t="n">
        <f aca="false">D23/$B$2</f>
        <v>335.570469798658</v>
      </c>
      <c r="F23" s="22" t="n">
        <f aca="false">E23/$B$3</f>
        <v>0.0383071312555545</v>
      </c>
      <c r="G23" s="23" t="n">
        <v>0.3</v>
      </c>
      <c r="H23" s="18" t="s">
        <v>84</v>
      </c>
      <c r="I23" s="24" t="s">
        <v>85</v>
      </c>
    </row>
    <row r="24" customFormat="false" ht="15" hidden="false" customHeight="false" outlineLevel="0" collapsed="false">
      <c r="A24" s="11" t="s">
        <v>86</v>
      </c>
      <c r="B24" s="11" t="s">
        <v>74</v>
      </c>
      <c r="C24" s="12" t="n">
        <v>4</v>
      </c>
      <c r="D24" s="13" t="n">
        <v>-3000</v>
      </c>
      <c r="E24" s="14" t="n">
        <f aca="false">D24/$B$2</f>
        <v>-201.342281879195</v>
      </c>
      <c r="F24" s="15" t="n">
        <f aca="false">E24/$B$3</f>
        <v>-0.0229842787533327</v>
      </c>
      <c r="G24" s="16" t="n">
        <v>0.1</v>
      </c>
      <c r="H24" s="11" t="s">
        <v>44</v>
      </c>
      <c r="I24" s="17" t="s">
        <v>87</v>
      </c>
    </row>
    <row r="25" customFormat="false" ht="15" hidden="false" customHeight="false" outlineLevel="0" collapsed="false">
      <c r="A25" s="18" t="s">
        <v>88</v>
      </c>
      <c r="B25" s="18" t="s">
        <v>74</v>
      </c>
      <c r="C25" s="19" t="n">
        <v>2</v>
      </c>
      <c r="D25" s="20" t="n">
        <v>-1000</v>
      </c>
      <c r="E25" s="21" t="n">
        <f aca="false">D25/$B$2</f>
        <v>-67.1140939597316</v>
      </c>
      <c r="F25" s="22" t="n">
        <f aca="false">E25/$B$3</f>
        <v>-0.00766142625111091</v>
      </c>
      <c r="G25" s="23" t="n">
        <v>0</v>
      </c>
      <c r="H25" s="18" t="s">
        <v>62</v>
      </c>
      <c r="I25" s="24" t="s">
        <v>89</v>
      </c>
    </row>
    <row r="26" customFormat="false" ht="15" hidden="false" customHeight="false" outlineLevel="0" collapsed="false">
      <c r="A26" s="11" t="s">
        <v>90</v>
      </c>
      <c r="B26" s="11" t="s">
        <v>79</v>
      </c>
      <c r="C26" s="12" t="n">
        <v>6</v>
      </c>
      <c r="D26" s="13" t="n">
        <v>-8000</v>
      </c>
      <c r="E26" s="14" t="n">
        <f aca="false">D26/$B$2</f>
        <v>-536.912751677852</v>
      </c>
      <c r="F26" s="15" t="n">
        <f aca="false">E26/$B$3</f>
        <v>-0.0612914100088873</v>
      </c>
      <c r="G26" s="16" t="n">
        <v>0.15</v>
      </c>
      <c r="H26" s="11" t="s">
        <v>55</v>
      </c>
      <c r="I26" s="17" t="s">
        <v>91</v>
      </c>
    </row>
    <row r="27" customFormat="false" ht="32.8" hidden="false" customHeight="false" outlineLevel="0" collapsed="false">
      <c r="A27" s="18" t="s">
        <v>92</v>
      </c>
      <c r="B27" s="18" t="s">
        <v>93</v>
      </c>
      <c r="C27" s="19" t="n">
        <v>0</v>
      </c>
      <c r="D27" s="20" t="n">
        <v>80</v>
      </c>
      <c r="E27" s="21" t="n">
        <f aca="false">D27/$B$2</f>
        <v>5.36912751677852</v>
      </c>
      <c r="F27" s="22" t="n">
        <f aca="false">E27/$B$3</f>
        <v>0.000612914100088873</v>
      </c>
      <c r="G27" s="23" t="n">
        <v>0.15</v>
      </c>
      <c r="H27" s="18" t="s">
        <v>55</v>
      </c>
      <c r="I27" s="24" t="s">
        <v>94</v>
      </c>
    </row>
    <row r="28" customFormat="false" ht="22.35" hidden="false" customHeight="false" outlineLevel="0" collapsed="false">
      <c r="A28" s="11" t="s">
        <v>95</v>
      </c>
      <c r="B28" s="11" t="s">
        <v>93</v>
      </c>
      <c r="C28" s="12" t="n">
        <v>2</v>
      </c>
      <c r="D28" s="13" t="n">
        <v>15</v>
      </c>
      <c r="E28" s="14" t="n">
        <f aca="false">D28/$B$2</f>
        <v>1.00671140939597</v>
      </c>
      <c r="F28" s="15" t="n">
        <f aca="false">E28/$B$3</f>
        <v>0.000114921393766664</v>
      </c>
      <c r="G28" s="16" t="n">
        <v>0</v>
      </c>
      <c r="H28" s="11" t="s">
        <v>38</v>
      </c>
      <c r="I28" s="17" t="s">
        <v>96</v>
      </c>
    </row>
    <row r="29" customFormat="false" ht="15" hidden="false" customHeight="false" outlineLevel="0" collapsed="false">
      <c r="A29" s="18" t="s">
        <v>97</v>
      </c>
      <c r="B29" s="18" t="s">
        <v>93</v>
      </c>
      <c r="C29" s="19" t="n">
        <v>3</v>
      </c>
      <c r="D29" s="20" t="n">
        <v>3000</v>
      </c>
      <c r="E29" s="21" t="n">
        <f aca="false">D29/$B$2</f>
        <v>201.342281879195</v>
      </c>
      <c r="F29" s="22" t="n">
        <f aca="false">E29/$B$3</f>
        <v>0.0229842787533327</v>
      </c>
      <c r="G29" s="23" t="n">
        <v>0.25</v>
      </c>
      <c r="H29" s="18" t="s">
        <v>55</v>
      </c>
      <c r="I29" s="24" t="s">
        <v>70</v>
      </c>
    </row>
    <row r="30" customFormat="false" ht="32.8" hidden="false" customHeight="false" outlineLevel="0" collapsed="false">
      <c r="A30" s="11" t="s">
        <v>98</v>
      </c>
      <c r="B30" s="11" t="s">
        <v>93</v>
      </c>
      <c r="C30" s="12" t="n">
        <v>0</v>
      </c>
      <c r="D30" s="13" t="n">
        <v>-60</v>
      </c>
      <c r="E30" s="14" t="n">
        <f aca="false">D30/$B$2</f>
        <v>-4.02684563758389</v>
      </c>
      <c r="F30" s="15" t="n">
        <f aca="false">E30/$B$3</f>
        <v>-0.000459685575066654</v>
      </c>
      <c r="G30" s="16" t="n">
        <v>1</v>
      </c>
      <c r="H30" s="11" t="s">
        <v>99</v>
      </c>
      <c r="I30" s="17" t="s">
        <v>100</v>
      </c>
    </row>
    <row r="31" customFormat="false" ht="15" hidden="false" customHeight="false" outlineLevel="0" collapsed="false">
      <c r="A31" s="18" t="s">
        <v>101</v>
      </c>
      <c r="B31" s="18" t="s">
        <v>93</v>
      </c>
      <c r="C31" s="19" t="n">
        <v>4</v>
      </c>
      <c r="D31" s="20" t="n">
        <v>4000</v>
      </c>
      <c r="E31" s="21" t="n">
        <f aca="false">D31/$B$2</f>
        <v>268.456375838926</v>
      </c>
      <c r="F31" s="22" t="n">
        <f aca="false">E31/$B$3</f>
        <v>0.0306457050044436</v>
      </c>
      <c r="G31" s="23" t="n">
        <v>0.3</v>
      </c>
      <c r="H31" s="18" t="s">
        <v>55</v>
      </c>
      <c r="I31" s="24" t="s">
        <v>102</v>
      </c>
    </row>
    <row r="32" customFormat="false" ht="15" hidden="false" customHeight="false" outlineLevel="0" collapsed="false">
      <c r="A32" s="11" t="s">
        <v>103</v>
      </c>
      <c r="B32" s="11" t="s">
        <v>93</v>
      </c>
      <c r="C32" s="12" t="n">
        <v>4</v>
      </c>
      <c r="D32" s="13" t="n">
        <v>-500</v>
      </c>
      <c r="E32" s="14" t="n">
        <f aca="false">D32/$B$2</f>
        <v>-33.5570469798658</v>
      </c>
      <c r="F32" s="15" t="n">
        <f aca="false">E32/$B$3</f>
        <v>-0.00383071312555545</v>
      </c>
      <c r="G32" s="16" t="n">
        <v>0.4</v>
      </c>
      <c r="H32" s="11" t="s">
        <v>104</v>
      </c>
      <c r="I32" s="17" t="s">
        <v>105</v>
      </c>
    </row>
    <row r="33" customFormat="false" ht="15" hidden="false" customHeight="false" outlineLevel="0" collapsed="false">
      <c r="A33" s="18" t="s">
        <v>106</v>
      </c>
      <c r="B33" s="18" t="s">
        <v>93</v>
      </c>
      <c r="C33" s="19" t="n">
        <v>3</v>
      </c>
      <c r="D33" s="20" t="n">
        <v>25</v>
      </c>
      <c r="E33" s="21" t="n">
        <f aca="false">D33/$B$2</f>
        <v>1.67785234899329</v>
      </c>
      <c r="F33" s="22" t="n">
        <f aca="false">E33/$B$3</f>
        <v>0.000191535656277773</v>
      </c>
      <c r="G33" s="23" t="n">
        <v>0</v>
      </c>
      <c r="H33" s="18" t="s">
        <v>38</v>
      </c>
      <c r="I33" s="24" t="s">
        <v>107</v>
      </c>
    </row>
    <row r="34" customFormat="false" ht="43.25" hidden="false" customHeight="false" outlineLevel="0" collapsed="false">
      <c r="A34" s="11" t="s">
        <v>108</v>
      </c>
      <c r="B34" s="11" t="s">
        <v>93</v>
      </c>
      <c r="C34" s="12" t="n">
        <v>0</v>
      </c>
      <c r="D34" s="13" t="n">
        <v>-2000</v>
      </c>
      <c r="E34" s="14" t="n">
        <f aca="false">D34/$B$2</f>
        <v>-134.228187919463</v>
      </c>
      <c r="F34" s="15" t="n">
        <f aca="false">E34/$B$3</f>
        <v>-0.0153228525022218</v>
      </c>
      <c r="G34" s="16" t="n">
        <v>1</v>
      </c>
      <c r="H34" s="11" t="s">
        <v>99</v>
      </c>
      <c r="I34" s="17" t="s">
        <v>109</v>
      </c>
    </row>
    <row r="35" customFormat="false" ht="15" hidden="false" customHeight="false" outlineLevel="0" collapsed="false">
      <c r="A35" s="18" t="s">
        <v>110</v>
      </c>
      <c r="B35" s="18" t="s">
        <v>93</v>
      </c>
      <c r="C35" s="19" t="n">
        <v>6</v>
      </c>
      <c r="D35" s="20" t="n">
        <v>3000</v>
      </c>
      <c r="E35" s="21" t="n">
        <f aca="false">D35/$B$2</f>
        <v>201.342281879195</v>
      </c>
      <c r="F35" s="22" t="n">
        <f aca="false">E35/$B$3</f>
        <v>0.0229842787533327</v>
      </c>
      <c r="G35" s="23" t="n">
        <v>0.1</v>
      </c>
      <c r="H35" s="18" t="s">
        <v>111</v>
      </c>
      <c r="I35" s="24" t="s">
        <v>70</v>
      </c>
    </row>
    <row r="36" customFormat="false" ht="15" hidden="false" customHeight="false" outlineLevel="0" collapsed="false">
      <c r="A36" s="11" t="s">
        <v>112</v>
      </c>
      <c r="B36" s="11" t="s">
        <v>113</v>
      </c>
      <c r="C36" s="12" t="n">
        <v>2</v>
      </c>
      <c r="D36" s="13" t="n">
        <v>150</v>
      </c>
      <c r="E36" s="14" t="n">
        <f aca="false">D36/$B$2</f>
        <v>10.0671140939597</v>
      </c>
      <c r="F36" s="15" t="n">
        <f aca="false">E36/$B$3</f>
        <v>0.00114921393766664</v>
      </c>
      <c r="G36" s="16" t="n">
        <v>0.4</v>
      </c>
      <c r="H36" s="11" t="s">
        <v>55</v>
      </c>
      <c r="I36" s="17" t="s">
        <v>114</v>
      </c>
    </row>
    <row r="37" customFormat="false" ht="15" hidden="false" customHeight="false" outlineLevel="0" collapsed="false">
      <c r="A37" s="18" t="s">
        <v>115</v>
      </c>
      <c r="B37" s="18" t="s">
        <v>113</v>
      </c>
      <c r="C37" s="19" t="n">
        <v>1</v>
      </c>
      <c r="D37" s="20" t="n">
        <v>-60</v>
      </c>
      <c r="E37" s="21" t="n">
        <f aca="false">D37/$B$2</f>
        <v>-4.02684563758389</v>
      </c>
      <c r="F37" s="22" t="n">
        <f aca="false">E37/$B$3</f>
        <v>-0.000459685575066654</v>
      </c>
      <c r="G37" s="23" t="n">
        <v>0.6</v>
      </c>
      <c r="H37" s="18" t="s">
        <v>44</v>
      </c>
      <c r="I37" s="24" t="s">
        <v>116</v>
      </c>
    </row>
    <row r="38" customFormat="false" ht="15" hidden="false" customHeight="false" outlineLevel="0" collapsed="false">
      <c r="A38" s="11" t="s">
        <v>117</v>
      </c>
      <c r="B38" s="11" t="s">
        <v>113</v>
      </c>
      <c r="C38" s="12" t="n">
        <v>3</v>
      </c>
      <c r="D38" s="13" t="n">
        <v>800</v>
      </c>
      <c r="E38" s="14" t="n">
        <f aca="false">D38/$B$2</f>
        <v>53.6912751677852</v>
      </c>
      <c r="F38" s="15" t="n">
        <f aca="false">E38/$B$3</f>
        <v>0.00612914100088873</v>
      </c>
      <c r="G38" s="16" t="n">
        <v>0.45</v>
      </c>
      <c r="H38" s="11" t="s">
        <v>55</v>
      </c>
      <c r="I38" s="17" t="s">
        <v>70</v>
      </c>
    </row>
    <row r="39" customFormat="false" ht="15" hidden="false" customHeight="false" outlineLevel="0" collapsed="false">
      <c r="A39" s="18" t="s">
        <v>118</v>
      </c>
      <c r="B39" s="18" t="s">
        <v>113</v>
      </c>
      <c r="C39" s="19" t="n">
        <v>6</v>
      </c>
      <c r="D39" s="20" t="n">
        <v>2500</v>
      </c>
      <c r="E39" s="21" t="n">
        <f aca="false">D39/$B$2</f>
        <v>167.785234899329</v>
      </c>
      <c r="F39" s="22" t="n">
        <f aca="false">E39/$B$3</f>
        <v>0.0191535656277773</v>
      </c>
      <c r="G39" s="23" t="n">
        <v>0.5</v>
      </c>
      <c r="H39" s="18" t="s">
        <v>84</v>
      </c>
      <c r="I39" s="24" t="s">
        <v>119</v>
      </c>
    </row>
    <row r="40" customFormat="false" ht="15" hidden="false" customHeight="false" outlineLevel="0" collapsed="false">
      <c r="A40" s="11" t="s">
        <v>120</v>
      </c>
      <c r="B40" s="11" t="s">
        <v>113</v>
      </c>
      <c r="C40" s="12" t="n">
        <v>8</v>
      </c>
      <c r="D40" s="13" t="n">
        <v>15000</v>
      </c>
      <c r="E40" s="14" t="n">
        <f aca="false">D40/$B$2</f>
        <v>1006.71140939597</v>
      </c>
      <c r="F40" s="15" t="n">
        <f aca="false">E40/$B$3</f>
        <v>0.114921393766664</v>
      </c>
      <c r="G40" s="16" t="n">
        <v>0.55</v>
      </c>
      <c r="H40" s="11" t="s">
        <v>84</v>
      </c>
      <c r="I40" s="17" t="s">
        <v>121</v>
      </c>
    </row>
    <row r="41" customFormat="false" ht="22.35" hidden="false" customHeight="false" outlineLevel="0" collapsed="false">
      <c r="A41" s="18" t="s">
        <v>122</v>
      </c>
      <c r="B41" s="18" t="s">
        <v>113</v>
      </c>
      <c r="C41" s="19" t="n">
        <v>1</v>
      </c>
      <c r="D41" s="20" t="n">
        <v>500000</v>
      </c>
      <c r="E41" s="21" t="n">
        <f aca="false">D41/$B$2</f>
        <v>33557.0469798658</v>
      </c>
      <c r="F41" s="22" t="n">
        <f aca="false">E41/$B$3</f>
        <v>3.83071312555545</v>
      </c>
      <c r="G41" s="23" t="n">
        <v>0.9</v>
      </c>
      <c r="H41" s="18" t="s">
        <v>84</v>
      </c>
      <c r="I41" s="24" t="s">
        <v>123</v>
      </c>
    </row>
    <row r="42" customFormat="false" ht="15" hidden="false" customHeight="false" outlineLevel="0" collapsed="false">
      <c r="A42" s="11" t="s">
        <v>124</v>
      </c>
      <c r="B42" s="11" t="s">
        <v>125</v>
      </c>
      <c r="C42" s="12" t="n">
        <v>1</v>
      </c>
      <c r="D42" s="13" t="n">
        <v>150</v>
      </c>
      <c r="E42" s="14" t="n">
        <f aca="false">D42/$B$2</f>
        <v>10.0671140939597</v>
      </c>
      <c r="F42" s="15" t="n">
        <f aca="false">E42/$B$3</f>
        <v>0.00114921393766664</v>
      </c>
      <c r="G42" s="16" t="n">
        <v>0.2</v>
      </c>
      <c r="H42" s="11" t="s">
        <v>55</v>
      </c>
      <c r="I42" s="17" t="s">
        <v>126</v>
      </c>
    </row>
    <row r="43" customFormat="false" ht="15" hidden="false" customHeight="false" outlineLevel="0" collapsed="false">
      <c r="A43" s="18" t="s">
        <v>127</v>
      </c>
      <c r="B43" s="18" t="s">
        <v>125</v>
      </c>
      <c r="C43" s="19" t="n">
        <v>5</v>
      </c>
      <c r="D43" s="20" t="n">
        <v>2000</v>
      </c>
      <c r="E43" s="21" t="n">
        <f aca="false">D43/$B$2</f>
        <v>134.228187919463</v>
      </c>
      <c r="F43" s="22" t="n">
        <f aca="false">E43/$B$3</f>
        <v>0.0153228525022218</v>
      </c>
      <c r="G43" s="23" t="n">
        <v>0.35</v>
      </c>
      <c r="H43" s="18" t="s">
        <v>55</v>
      </c>
      <c r="I43" s="24" t="s">
        <v>128</v>
      </c>
    </row>
    <row r="44" customFormat="false" ht="22.35" hidden="false" customHeight="false" outlineLevel="0" collapsed="false">
      <c r="A44" s="11" t="s">
        <v>129</v>
      </c>
      <c r="B44" s="11" t="s">
        <v>130</v>
      </c>
      <c r="C44" s="12" t="n">
        <v>4</v>
      </c>
      <c r="D44" s="13" t="n">
        <v>1500</v>
      </c>
      <c r="E44" s="14" t="n">
        <f aca="false">D44/$B$2</f>
        <v>100.671140939597</v>
      </c>
      <c r="F44" s="15" t="n">
        <f aca="false">E44/$B$3</f>
        <v>0.0114921393766664</v>
      </c>
      <c r="G44" s="16" t="n">
        <v>0.4</v>
      </c>
      <c r="H44" s="11" t="s">
        <v>55</v>
      </c>
      <c r="I44" s="17" t="s">
        <v>131</v>
      </c>
    </row>
    <row r="45" customFormat="false" ht="22.35" hidden="false" customHeight="false" outlineLevel="0" collapsed="false">
      <c r="A45" s="18" t="s">
        <v>132</v>
      </c>
      <c r="B45" s="18" t="s">
        <v>130</v>
      </c>
      <c r="C45" s="19" t="n">
        <v>12</v>
      </c>
      <c r="D45" s="20" t="n">
        <v>25000</v>
      </c>
      <c r="E45" s="21" t="n">
        <f aca="false">D45/$B$2</f>
        <v>1677.85234899329</v>
      </c>
      <c r="F45" s="22" t="n">
        <f aca="false">E45/$B$3</f>
        <v>0.191535656277773</v>
      </c>
      <c r="G45" s="23" t="n">
        <v>0.5</v>
      </c>
      <c r="H45" s="18" t="s">
        <v>84</v>
      </c>
      <c r="I45" s="24" t="s">
        <v>133</v>
      </c>
    </row>
    <row r="46" customFormat="false" ht="43.25" hidden="false" customHeight="false" outlineLevel="0" collapsed="false">
      <c r="A46" s="11" t="s">
        <v>134</v>
      </c>
      <c r="B46" s="11" t="s">
        <v>135</v>
      </c>
      <c r="C46" s="12" t="n">
        <v>72</v>
      </c>
      <c r="D46" s="13" t="n">
        <v>3000000</v>
      </c>
      <c r="E46" s="14" t="n">
        <f aca="false">D46/$B$2</f>
        <v>201342.281879195</v>
      </c>
      <c r="F46" s="15" t="n">
        <f aca="false">E46/$B$3</f>
        <v>22.9842787533327</v>
      </c>
      <c r="G46" s="16" t="n">
        <v>0.65</v>
      </c>
      <c r="H46" s="11" t="s">
        <v>84</v>
      </c>
      <c r="I46" s="17" t="s">
        <v>136</v>
      </c>
    </row>
    <row r="47" customFormat="false" ht="15" hidden="false" customHeight="false" outlineLevel="0" collapsed="false">
      <c r="A47" s="18" t="s">
        <v>137</v>
      </c>
      <c r="B47" s="18" t="s">
        <v>138</v>
      </c>
      <c r="C47" s="19" t="n">
        <v>2</v>
      </c>
      <c r="D47" s="20" t="n">
        <v>200</v>
      </c>
      <c r="E47" s="21" t="n">
        <f aca="false">D47/$B$2</f>
        <v>13.4228187919463</v>
      </c>
      <c r="F47" s="22" t="n">
        <f aca="false">E47/$B$3</f>
        <v>0.00153228525022218</v>
      </c>
      <c r="G47" s="23" t="n">
        <v>0.3</v>
      </c>
      <c r="H47" s="18" t="s">
        <v>55</v>
      </c>
      <c r="I47" s="24" t="s">
        <v>70</v>
      </c>
    </row>
    <row r="48" customFormat="false" ht="32.8" hidden="false" customHeight="false" outlineLevel="0" collapsed="false">
      <c r="A48" s="11" t="s">
        <v>139</v>
      </c>
      <c r="B48" s="11" t="s">
        <v>130</v>
      </c>
      <c r="C48" s="12" t="n">
        <v>48</v>
      </c>
      <c r="D48" s="13" t="n">
        <v>1000000</v>
      </c>
      <c r="E48" s="14" t="n">
        <f aca="false">D48/$B$2</f>
        <v>67114.0939597315</v>
      </c>
      <c r="F48" s="15" t="n">
        <f aca="false">E48/$B$3</f>
        <v>7.66142625111091</v>
      </c>
      <c r="G48" s="16" t="n">
        <v>0.6</v>
      </c>
      <c r="H48" s="11" t="s">
        <v>84</v>
      </c>
      <c r="I48" s="17" t="s">
        <v>140</v>
      </c>
    </row>
    <row r="49" customFormat="false" ht="15" hidden="false" customHeight="false" outlineLevel="0" collapsed="false">
      <c r="A49" s="18" t="s">
        <v>141</v>
      </c>
      <c r="B49" s="18" t="s">
        <v>142</v>
      </c>
      <c r="C49" s="19" t="n">
        <v>24</v>
      </c>
      <c r="D49" s="20" t="n">
        <v>8000</v>
      </c>
      <c r="E49" s="21" t="n">
        <f aca="false">D49/$B$2</f>
        <v>536.912751677852</v>
      </c>
      <c r="F49" s="22" t="n">
        <f aca="false">E49/$B$3</f>
        <v>0.0612914100088873</v>
      </c>
      <c r="G49" s="23" t="n">
        <v>0.45</v>
      </c>
      <c r="H49" s="18" t="s">
        <v>143</v>
      </c>
      <c r="I49" s="24" t="s">
        <v>144</v>
      </c>
    </row>
    <row r="50" customFormat="false" ht="15" hidden="false" customHeight="false" outlineLevel="0" collapsed="false">
      <c r="A50" s="11" t="s">
        <v>145</v>
      </c>
      <c r="B50" s="11" t="s">
        <v>142</v>
      </c>
      <c r="C50" s="12" t="n">
        <v>24</v>
      </c>
      <c r="D50" s="13" t="n">
        <v>200000</v>
      </c>
      <c r="E50" s="14" t="n">
        <f aca="false">D50/$B$2</f>
        <v>13422.8187919463</v>
      </c>
      <c r="F50" s="15" t="n">
        <f aca="false">E50/$B$3</f>
        <v>1.53228525022218</v>
      </c>
      <c r="G50" s="16" t="n">
        <v>0.55</v>
      </c>
      <c r="H50" s="11" t="s">
        <v>84</v>
      </c>
      <c r="I50" s="17" t="s">
        <v>146</v>
      </c>
    </row>
    <row r="51" customFormat="false" ht="15" hidden="false" customHeight="false" outlineLevel="0" collapsed="false">
      <c r="A51" s="18" t="s">
        <v>147</v>
      </c>
      <c r="B51" s="18" t="s">
        <v>142</v>
      </c>
      <c r="C51" s="19" t="n">
        <v>5</v>
      </c>
      <c r="D51" s="20" t="n">
        <v>3000</v>
      </c>
      <c r="E51" s="21" t="n">
        <f aca="false">D51/$B$2</f>
        <v>201.342281879195</v>
      </c>
      <c r="F51" s="22" t="n">
        <f aca="false">E51/$B$3</f>
        <v>0.0229842787533327</v>
      </c>
      <c r="G51" s="23" t="n">
        <v>0.35</v>
      </c>
      <c r="H51" s="18" t="s">
        <v>55</v>
      </c>
      <c r="I51" s="24" t="s">
        <v>70</v>
      </c>
    </row>
    <row r="52" customFormat="false" ht="15" hidden="false" customHeight="false" outlineLevel="0" collapsed="false">
      <c r="A52" s="11" t="s">
        <v>148</v>
      </c>
      <c r="B52" s="11" t="s">
        <v>125</v>
      </c>
      <c r="C52" s="12" t="n">
        <v>1</v>
      </c>
      <c r="D52" s="13" t="n">
        <v>0</v>
      </c>
      <c r="E52" s="14" t="n">
        <f aca="false">D52/$B$2</f>
        <v>0</v>
      </c>
      <c r="F52" s="15" t="n">
        <f aca="false">E52/$B$3</f>
        <v>0</v>
      </c>
      <c r="G52" s="16" t="n">
        <v>0.25</v>
      </c>
      <c r="H52" s="11" t="s">
        <v>55</v>
      </c>
      <c r="I52" s="17" t="s">
        <v>149</v>
      </c>
    </row>
    <row r="53" customFormat="false" ht="15" hidden="false" customHeight="false" outlineLevel="0" collapsed="false">
      <c r="A53" s="18" t="s">
        <v>150</v>
      </c>
      <c r="B53" s="18" t="s">
        <v>142</v>
      </c>
      <c r="C53" s="19" t="n">
        <v>3</v>
      </c>
      <c r="D53" s="20" t="n">
        <v>500</v>
      </c>
      <c r="E53" s="21" t="n">
        <f aca="false">D53/$B$2</f>
        <v>33.5570469798658</v>
      </c>
      <c r="F53" s="22" t="n">
        <f aca="false">E53/$B$3</f>
        <v>0.00383071312555545</v>
      </c>
      <c r="G53" s="23" t="n">
        <v>0.25</v>
      </c>
      <c r="H53" s="18" t="s">
        <v>143</v>
      </c>
      <c r="I53" s="24" t="s">
        <v>151</v>
      </c>
    </row>
    <row r="54" customFormat="false" ht="15" hidden="false" customHeight="false" outlineLevel="0" collapsed="false">
      <c r="A54" s="11" t="s">
        <v>152</v>
      </c>
      <c r="B54" s="11" t="s">
        <v>130</v>
      </c>
      <c r="C54" s="12" t="n">
        <v>8</v>
      </c>
      <c r="D54" s="13" t="n">
        <v>50000</v>
      </c>
      <c r="E54" s="14" t="n">
        <f aca="false">D54/$B$2</f>
        <v>3355.70469798658</v>
      </c>
      <c r="F54" s="15" t="n">
        <f aca="false">E54/$B$3</f>
        <v>0.383071312555545</v>
      </c>
      <c r="G54" s="16" t="n">
        <v>0.5</v>
      </c>
      <c r="H54" s="11" t="s">
        <v>84</v>
      </c>
      <c r="I54" s="17" t="s">
        <v>153</v>
      </c>
    </row>
    <row r="55" customFormat="false" ht="15" hidden="false" customHeight="false" outlineLevel="0" collapsed="false">
      <c r="A55" s="18" t="s">
        <v>154</v>
      </c>
      <c r="B55" s="18" t="s">
        <v>155</v>
      </c>
      <c r="C55" s="19" t="n">
        <v>1</v>
      </c>
      <c r="D55" s="20" t="n">
        <v>-8</v>
      </c>
      <c r="E55" s="21" t="n">
        <f aca="false">D55/$B$2</f>
        <v>-0.536912751677852</v>
      </c>
      <c r="F55" s="22" t="n">
        <f aca="false">E55/$B$3</f>
        <v>-6.12914100088873E-005</v>
      </c>
      <c r="G55" s="23" t="n">
        <v>0</v>
      </c>
      <c r="H55" s="18" t="s">
        <v>156</v>
      </c>
      <c r="I55" s="24" t="s">
        <v>157</v>
      </c>
    </row>
    <row r="56" customFormat="false" ht="15" hidden="false" customHeight="false" outlineLevel="0" collapsed="false">
      <c r="A56" s="11" t="s">
        <v>158</v>
      </c>
      <c r="B56" s="11" t="s">
        <v>155</v>
      </c>
      <c r="C56" s="12" t="n">
        <v>0</v>
      </c>
      <c r="D56" s="13" t="n">
        <v>-20</v>
      </c>
      <c r="E56" s="14" t="n">
        <f aca="false">D56/$B$2</f>
        <v>-1.34228187919463</v>
      </c>
      <c r="F56" s="15" t="n">
        <f aca="false">E56/$B$3</f>
        <v>-0.000153228525022218</v>
      </c>
      <c r="G56" s="16" t="n">
        <v>0</v>
      </c>
      <c r="H56" s="11" t="s">
        <v>62</v>
      </c>
      <c r="I56" s="17" t="s">
        <v>159</v>
      </c>
    </row>
    <row r="57" customFormat="false" ht="15" hidden="false" customHeight="false" outlineLevel="0" collapsed="false">
      <c r="A57" s="18" t="s">
        <v>160</v>
      </c>
      <c r="B57" s="18" t="s">
        <v>155</v>
      </c>
      <c r="C57" s="19" t="n">
        <v>8</v>
      </c>
      <c r="D57" s="20" t="n">
        <v>0</v>
      </c>
      <c r="E57" s="21" t="n">
        <f aca="false">D57/$B$2</f>
        <v>0</v>
      </c>
      <c r="F57" s="22" t="n">
        <f aca="false">E57/$B$3</f>
        <v>0</v>
      </c>
      <c r="G57" s="23" t="n">
        <v>0</v>
      </c>
      <c r="H57" s="18" t="s">
        <v>156</v>
      </c>
      <c r="I57" s="24"/>
    </row>
    <row r="58" customFormat="false" ht="15" hidden="false" customHeight="false" outlineLevel="0" collapsed="false">
      <c r="A58" s="11" t="s">
        <v>161</v>
      </c>
      <c r="B58" s="11" t="s">
        <v>162</v>
      </c>
      <c r="C58" s="12" t="n">
        <v>4</v>
      </c>
      <c r="D58" s="13" t="n">
        <v>1000</v>
      </c>
      <c r="E58" s="14" t="n">
        <f aca="false">D58/$B$2</f>
        <v>67.1140939597316</v>
      </c>
      <c r="F58" s="15" t="n">
        <f aca="false">E58/$B$3</f>
        <v>0.00766142625111091</v>
      </c>
      <c r="G58" s="16" t="n">
        <v>0.15</v>
      </c>
      <c r="H58" s="11" t="s">
        <v>111</v>
      </c>
      <c r="I58" s="17" t="s">
        <v>70</v>
      </c>
    </row>
    <row r="59" customFormat="false" ht="15" hidden="false" customHeight="false" outlineLevel="0" collapsed="false">
      <c r="A59" s="18" t="s">
        <v>163</v>
      </c>
      <c r="B59" s="18" t="s">
        <v>164</v>
      </c>
      <c r="C59" s="19" t="n">
        <v>0</v>
      </c>
      <c r="D59" s="20" t="n">
        <v>-500</v>
      </c>
      <c r="E59" s="21" t="n">
        <f aca="false">D59/$B$2</f>
        <v>-33.5570469798658</v>
      </c>
      <c r="F59" s="22" t="n">
        <f aca="false">E59/$B$3</f>
        <v>-0.00383071312555545</v>
      </c>
      <c r="G59" s="23" t="n">
        <v>0</v>
      </c>
      <c r="H59" s="18" t="s">
        <v>44</v>
      </c>
      <c r="I59" s="24" t="s">
        <v>165</v>
      </c>
    </row>
    <row r="60" customFormat="false" ht="15" hidden="false" customHeight="false" outlineLevel="0" collapsed="false">
      <c r="A60" s="11" t="s">
        <v>166</v>
      </c>
      <c r="B60" s="11" t="s">
        <v>164</v>
      </c>
      <c r="C60" s="12" t="n">
        <v>2</v>
      </c>
      <c r="D60" s="13" t="n">
        <v>-20000</v>
      </c>
      <c r="E60" s="14" t="n">
        <f aca="false">D60/$B$2</f>
        <v>-1342.28187919463</v>
      </c>
      <c r="F60" s="15" t="n">
        <f aca="false">E60/$B$3</f>
        <v>-0.153228525022218</v>
      </c>
      <c r="G60" s="16" t="n">
        <v>0.05</v>
      </c>
      <c r="H60" s="11" t="s">
        <v>55</v>
      </c>
      <c r="I60" s="17" t="s">
        <v>167</v>
      </c>
    </row>
    <row r="61" customFormat="false" ht="22.35" hidden="false" customHeight="false" outlineLevel="0" collapsed="false">
      <c r="A61" s="18" t="s">
        <v>168</v>
      </c>
      <c r="B61" s="18" t="s">
        <v>169</v>
      </c>
      <c r="C61" s="19" t="n">
        <v>6</v>
      </c>
      <c r="D61" s="20" t="n">
        <v>100000</v>
      </c>
      <c r="E61" s="21" t="n">
        <f aca="false">D61/$B$2</f>
        <v>6711.40939597315</v>
      </c>
      <c r="F61" s="22" t="n">
        <f aca="false">E61/$B$3</f>
        <v>0.766142625111091</v>
      </c>
      <c r="G61" s="23" t="n">
        <v>0.6</v>
      </c>
      <c r="H61" s="18" t="s">
        <v>84</v>
      </c>
      <c r="I61" s="24" t="s">
        <v>170</v>
      </c>
    </row>
    <row r="62" customFormat="false" ht="15" hidden="false" customHeight="false" outlineLevel="0" collapsed="false">
      <c r="A62" s="11" t="s">
        <v>171</v>
      </c>
      <c r="B62" s="11" t="s">
        <v>172</v>
      </c>
      <c r="C62" s="12" t="n">
        <v>1</v>
      </c>
      <c r="D62" s="13" t="n">
        <v>-50</v>
      </c>
      <c r="E62" s="14" t="n">
        <f aca="false">D62/$B$2</f>
        <v>-3.35570469798658</v>
      </c>
      <c r="F62" s="15" t="n">
        <f aca="false">E62/$B$3</f>
        <v>-0.000383071312555545</v>
      </c>
      <c r="G62" s="16" t="n">
        <v>0</v>
      </c>
      <c r="H62" s="11" t="s">
        <v>38</v>
      </c>
      <c r="I62" s="17" t="s">
        <v>70</v>
      </c>
    </row>
    <row r="63" customFormat="false" ht="15" hidden="false" customHeight="false" outlineLevel="0" collapsed="false">
      <c r="A63" s="18" t="s">
        <v>173</v>
      </c>
      <c r="B63" s="18" t="s">
        <v>174</v>
      </c>
      <c r="C63" s="19" t="n">
        <v>2</v>
      </c>
      <c r="D63" s="20" t="n">
        <v>0</v>
      </c>
      <c r="E63" s="21" t="n">
        <f aca="false">D63/$B$2</f>
        <v>0</v>
      </c>
      <c r="F63" s="22" t="n">
        <f aca="false">E63/$B$3</f>
        <v>0</v>
      </c>
      <c r="G63" s="23" t="n">
        <v>0</v>
      </c>
      <c r="H63" s="18" t="s">
        <v>38</v>
      </c>
      <c r="I63" s="24"/>
    </row>
    <row r="64" customFormat="false" ht="15" hidden="false" customHeight="false" outlineLevel="0" collapsed="false">
      <c r="A64" s="11" t="s">
        <v>175</v>
      </c>
      <c r="B64" s="11" t="s">
        <v>162</v>
      </c>
      <c r="C64" s="12" t="n">
        <v>4</v>
      </c>
      <c r="D64" s="13" t="n">
        <v>0</v>
      </c>
      <c r="E64" s="14" t="n">
        <f aca="false">D64/$B$2</f>
        <v>0</v>
      </c>
      <c r="F64" s="15" t="n">
        <f aca="false">E64/$B$3</f>
        <v>0</v>
      </c>
      <c r="G64" s="16" t="n">
        <v>0.1</v>
      </c>
      <c r="H64" s="11" t="s">
        <v>176</v>
      </c>
      <c r="I64" s="17" t="s">
        <v>177</v>
      </c>
    </row>
    <row r="65" customFormat="false" ht="15" hidden="false" customHeight="false" outlineLevel="0" collapsed="false">
      <c r="A65" s="18" t="s">
        <v>178</v>
      </c>
      <c r="B65" s="18" t="s">
        <v>162</v>
      </c>
      <c r="C65" s="19" t="n">
        <v>2</v>
      </c>
      <c r="D65" s="20" t="n">
        <v>-5000</v>
      </c>
      <c r="E65" s="21" t="n">
        <f aca="false">D65/$B$2</f>
        <v>-335.570469798658</v>
      </c>
      <c r="F65" s="22" t="n">
        <f aca="false">E65/$B$3</f>
        <v>-0.0383071312555545</v>
      </c>
      <c r="G65" s="23" t="n">
        <v>0</v>
      </c>
      <c r="H65" s="18" t="s">
        <v>44</v>
      </c>
      <c r="I65" s="24" t="s">
        <v>179</v>
      </c>
    </row>
    <row r="67" customFormat="false" ht="39.75" hidden="false" customHeight="true" outlineLevel="0" collapsed="false">
      <c r="A67" s="25" t="s">
        <v>180</v>
      </c>
      <c r="B67" s="25"/>
      <c r="C67" s="25"/>
      <c r="D67" s="25"/>
      <c r="E67" s="25"/>
      <c r="F67" s="25"/>
      <c r="G67" s="25"/>
      <c r="H67" s="25"/>
      <c r="I67" s="25"/>
    </row>
  </sheetData>
  <mergeCells count="2">
    <mergeCell ref="A1:C1"/>
    <mergeCell ref="A67:I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8"/>
    <col collapsed="false" customWidth="true" hidden="false" outlineLevel="0" max="4" min="3" style="0" width="16"/>
    <col collapsed="false" customWidth="true" hidden="false" outlineLevel="0" max="5" min="5" style="0" width="22"/>
    <col collapsed="false" customWidth="true" hidden="false" outlineLevel="0" max="6" min="6" style="0" width="24"/>
    <col collapsed="false" customWidth="true" hidden="false" outlineLevel="0" max="7" min="7" style="0" width="22"/>
    <col collapsed="false" customWidth="true" hidden="false" outlineLevel="0" max="8" min="8" style="0" width="20"/>
    <col collapsed="false" customWidth="true" hidden="false" outlineLevel="0" max="9" min="9" style="0" width="24"/>
  </cols>
  <sheetData>
    <row r="1" customFormat="false" ht="16.15" hidden="false" customHeight="false" outlineLevel="0" collapsed="false">
      <c r="A1" s="26" t="s">
        <v>181</v>
      </c>
      <c r="B1" s="26"/>
      <c r="C1" s="26"/>
      <c r="D1" s="26"/>
      <c r="E1" s="26"/>
      <c r="F1" s="26"/>
    </row>
    <row r="3" customFormat="false" ht="15" hidden="false" customHeight="false" outlineLevel="0" collapsed="false">
      <c r="A3" s="2" t="s">
        <v>182</v>
      </c>
      <c r="B3" s="27" t="n">
        <v>168</v>
      </c>
    </row>
    <row r="4" customFormat="false" ht="15" hidden="false" customHeight="false" outlineLevel="0" collapsed="false">
      <c r="A4" s="2" t="s">
        <v>183</v>
      </c>
      <c r="B4" s="27" t="n">
        <v>24</v>
      </c>
    </row>
    <row r="6" customFormat="false" ht="39.75" hidden="false" customHeight="true" outlineLevel="0" collapsed="false">
      <c r="A6" s="10" t="s">
        <v>184</v>
      </c>
      <c r="B6" s="10" t="s">
        <v>185</v>
      </c>
      <c r="C6" s="10" t="s">
        <v>186</v>
      </c>
      <c r="D6" s="10" t="s">
        <v>187</v>
      </c>
      <c r="E6" s="10" t="s">
        <v>188</v>
      </c>
      <c r="F6" s="10" t="s">
        <v>189</v>
      </c>
      <c r="G6" s="10" t="s">
        <v>190</v>
      </c>
      <c r="H6" s="10" t="s">
        <v>191</v>
      </c>
      <c r="I6" s="10" t="s">
        <v>192</v>
      </c>
    </row>
    <row r="7" customFormat="false" ht="15" hidden="false" customHeight="false" outlineLevel="0" collapsed="false">
      <c r="A7" s="18" t="n">
        <v>1</v>
      </c>
      <c r="B7" s="28" t="s">
        <v>36</v>
      </c>
      <c r="C7" s="21" t="n">
        <f aca="false">IFERROR(INDEX(Azioni!$C$6:$C$150,MATCH(B7,Azioni!$A$6:$A$150,0)),"")</f>
        <v>8</v>
      </c>
      <c r="D7" s="21" t="n">
        <f aca="false">IFERROR(INDEX(Azioni!$E$6:$E$150,MATCH(B7,Azioni!$A$6:$A$150,0)),"")</f>
        <v>5.97315436241611</v>
      </c>
      <c r="E7" s="21" t="n">
        <f aca="false">$B$3-C7</f>
        <v>160</v>
      </c>
      <c r="F7" s="21" t="n">
        <f aca="false">$B$4+D7</f>
        <v>29.9731543624161</v>
      </c>
      <c r="G7" s="22" t="n">
        <f aca="false">F7/8760</f>
        <v>0.00342159296374613</v>
      </c>
      <c r="H7" s="18" t="n">
        <f aca="false">INT(($B$3-E7)/24)+1</f>
        <v>1</v>
      </c>
      <c r="I7" s="18" t="str">
        <f aca="false">IF(E7&lt;0,"GAME OVER - tempo scaduto (figlia)",IF(F7&lt;0,"GAME OVER - il padre muore","OK"))</f>
        <v>OK</v>
      </c>
    </row>
    <row r="8" customFormat="false" ht="15" hidden="false" customHeight="false" outlineLevel="0" collapsed="false">
      <c r="A8" s="11" t="n">
        <v>2</v>
      </c>
      <c r="B8" s="29" t="s">
        <v>154</v>
      </c>
      <c r="C8" s="14" t="n">
        <f aca="false">IFERROR(INDEX(Azioni!$C$6:$C$150,MATCH(B8,Azioni!$A$6:$A$150,0)),"")</f>
        <v>1</v>
      </c>
      <c r="D8" s="14" t="n">
        <f aca="false">IFERROR(INDEX(Azioni!$E$6:$E$150,MATCH(B8,Azioni!$A$6:$A$150,0)),"")</f>
        <v>-0.536912751677852</v>
      </c>
      <c r="E8" s="14" t="n">
        <f aca="false">E7-C8</f>
        <v>159</v>
      </c>
      <c r="F8" s="14" t="n">
        <f aca="false">F7+D8</f>
        <v>29.4362416107383</v>
      </c>
      <c r="G8" s="15" t="n">
        <f aca="false">F8/8760</f>
        <v>0.00336030155373724</v>
      </c>
      <c r="H8" s="11" t="n">
        <f aca="false">INT(($B$3-E8)/24)+1</f>
        <v>1</v>
      </c>
      <c r="I8" s="11" t="str">
        <f aca="false">IF(E8&lt;0,"GAME OVER - tempo scaduto (figlia)",IF(F8&lt;0,"GAME OVER - il padre muore","OK"))</f>
        <v>OK</v>
      </c>
    </row>
    <row r="9" customFormat="false" ht="15" hidden="false" customHeight="false" outlineLevel="0" collapsed="false">
      <c r="A9" s="18" t="n">
        <v>3</v>
      </c>
      <c r="B9" s="28" t="s">
        <v>160</v>
      </c>
      <c r="C9" s="21" t="n">
        <f aca="false">IFERROR(INDEX(Azioni!$C$6:$C$150,MATCH(B9,Azioni!$A$6:$A$150,0)),"")</f>
        <v>8</v>
      </c>
      <c r="D9" s="21" t="n">
        <f aca="false">IFERROR(INDEX(Azioni!$E$6:$E$150,MATCH(B9,Azioni!$A$6:$A$150,0)),"")</f>
        <v>0</v>
      </c>
      <c r="E9" s="21" t="n">
        <f aca="false">E8-C9</f>
        <v>151</v>
      </c>
      <c r="F9" s="21" t="n">
        <f aca="false">F8+D9</f>
        <v>29.4362416107383</v>
      </c>
      <c r="G9" s="22" t="n">
        <f aca="false">F9/8760</f>
        <v>0.00336030155373724</v>
      </c>
      <c r="H9" s="18" t="n">
        <f aca="false">INT(($B$3-E9)/24)+1</f>
        <v>1</v>
      </c>
      <c r="I9" s="18" t="str">
        <f aca="false">IF(E9&lt;0,"GAME OVER - tempo scaduto (figlia)",IF(F9&lt;0,"GAME OVER - il padre muore","OK"))</f>
        <v>OK</v>
      </c>
    </row>
    <row r="10" customFormat="false" ht="15" hidden="false" customHeight="false" outlineLevel="0" collapsed="false">
      <c r="A10" s="11" t="n">
        <v>4</v>
      </c>
      <c r="B10" s="29" t="s">
        <v>112</v>
      </c>
      <c r="C10" s="14" t="n">
        <f aca="false">IFERROR(INDEX(Azioni!$C$6:$C$150,MATCH(B10,Azioni!$A$6:$A$150,0)),"")</f>
        <v>2</v>
      </c>
      <c r="D10" s="14" t="n">
        <f aca="false">IFERROR(INDEX(Azioni!$E$6:$E$150,MATCH(B10,Azioni!$A$6:$A$150,0)),"")</f>
        <v>10.0671140939597</v>
      </c>
      <c r="E10" s="14" t="n">
        <f aca="false">E9-C10</f>
        <v>149</v>
      </c>
      <c r="F10" s="14" t="n">
        <f aca="false">F9+D10</f>
        <v>39.503355704698</v>
      </c>
      <c r="G10" s="15" t="n">
        <f aca="false">F10/8760</f>
        <v>0.00450951549140388</v>
      </c>
      <c r="H10" s="11" t="n">
        <f aca="false">INT(($B$3-E10)/24)+1</f>
        <v>1</v>
      </c>
      <c r="I10" s="11" t="str">
        <f aca="false">IF(E10&lt;0,"GAME OVER - tempo scaduto (figlia)",IF(F10&lt;0,"GAME OVER - il padre muore","OK"))</f>
        <v>OK</v>
      </c>
    </row>
    <row r="11" customFormat="false" ht="15" hidden="false" customHeight="false" outlineLevel="0" collapsed="false">
      <c r="A11" s="18" t="n">
        <v>5</v>
      </c>
      <c r="B11" s="28" t="s">
        <v>66</v>
      </c>
      <c r="C11" s="21" t="n">
        <f aca="false">IFERROR(INDEX(Azioni!$C$6:$C$150,MATCH(B11,Azioni!$A$6:$A$150,0)),"")</f>
        <v>1</v>
      </c>
      <c r="D11" s="21" t="n">
        <f aca="false">IFERROR(INDEX(Azioni!$E$6:$E$150,MATCH(B11,Azioni!$A$6:$A$150,0)),"")</f>
        <v>13.4228187919463</v>
      </c>
      <c r="E11" s="21" t="n">
        <f aca="false">E10-C11</f>
        <v>148</v>
      </c>
      <c r="F11" s="21" t="n">
        <f aca="false">F10+D11</f>
        <v>52.9261744966443</v>
      </c>
      <c r="G11" s="22" t="n">
        <f aca="false">F11/8760</f>
        <v>0.00604180074162606</v>
      </c>
      <c r="H11" s="18" t="n">
        <f aca="false">INT(($B$3-E11)/24)+1</f>
        <v>1</v>
      </c>
      <c r="I11" s="18" t="str">
        <f aca="false">IF(E11&lt;0,"GAME OVER - tempo scaduto (figlia)",IF(F11&lt;0,"GAME OVER - il padre muore","OK"))</f>
        <v>OK</v>
      </c>
    </row>
    <row r="12" customFormat="false" ht="15" hidden="false" customHeight="false" outlineLevel="0" collapsed="false">
      <c r="A12" s="11" t="n">
        <v>6</v>
      </c>
      <c r="B12" s="29" t="s">
        <v>124</v>
      </c>
      <c r="C12" s="14" t="n">
        <f aca="false">IFERROR(INDEX(Azioni!$C$6:$C$150,MATCH(B12,Azioni!$A$6:$A$150,0)),"")</f>
        <v>1</v>
      </c>
      <c r="D12" s="14" t="n">
        <f aca="false">IFERROR(INDEX(Azioni!$E$6:$E$150,MATCH(B12,Azioni!$A$6:$A$150,0)),"")</f>
        <v>10.0671140939597</v>
      </c>
      <c r="E12" s="14" t="n">
        <f aca="false">E11-C12</f>
        <v>147</v>
      </c>
      <c r="F12" s="14" t="n">
        <f aca="false">F11+D12</f>
        <v>62.993288590604</v>
      </c>
      <c r="G12" s="15" t="n">
        <f aca="false">F12/8760</f>
        <v>0.0071910146792927</v>
      </c>
      <c r="H12" s="11" t="n">
        <f aca="false">INT(($B$3-E12)/24)+1</f>
        <v>1</v>
      </c>
      <c r="I12" s="11" t="str">
        <f aca="false">IF(E12&lt;0,"GAME OVER - tempo scaduto (figlia)",IF(F12&lt;0,"GAME OVER - il padre muore","OK"))</f>
        <v>OK</v>
      </c>
    </row>
    <row r="13" customFormat="false" ht="15" hidden="false" customHeight="false" outlineLevel="0" collapsed="false">
      <c r="A13" s="18" t="n">
        <v>7</v>
      </c>
      <c r="B13" s="28" t="s">
        <v>175</v>
      </c>
      <c r="C13" s="21" t="n">
        <f aca="false">IFERROR(INDEX(Azioni!$C$6:$C$150,MATCH(B13,Azioni!$A$6:$A$150,0)),"")</f>
        <v>4</v>
      </c>
      <c r="D13" s="21" t="n">
        <f aca="false">IFERROR(INDEX(Azioni!$E$6:$E$150,MATCH(B13,Azioni!$A$6:$A$150,0)),"")</f>
        <v>0</v>
      </c>
      <c r="E13" s="21" t="n">
        <f aca="false">E12-C13</f>
        <v>143</v>
      </c>
      <c r="F13" s="21" t="n">
        <f aca="false">F12+D13</f>
        <v>62.993288590604</v>
      </c>
      <c r="G13" s="22" t="n">
        <f aca="false">F13/8760</f>
        <v>0.0071910146792927</v>
      </c>
      <c r="H13" s="18" t="n">
        <f aca="false">INT(($B$3-E13)/24)+1</f>
        <v>2</v>
      </c>
      <c r="I13" s="18" t="str">
        <f aca="false">IF(E13&lt;0,"GAME OVER - tempo scaduto (figlia)",IF(F13&lt;0,"GAME OVER - il padre muore","OK"))</f>
        <v>OK</v>
      </c>
    </row>
    <row r="14" customFormat="false" ht="15" hidden="false" customHeight="false" outlineLevel="0" collapsed="false">
      <c r="A14" s="11" t="n">
        <v>8</v>
      </c>
      <c r="B14" s="29" t="s">
        <v>90</v>
      </c>
      <c r="C14" s="14" t="n">
        <f aca="false">IFERROR(INDEX(Azioni!$C$6:$C$150,MATCH(B14,Azioni!$A$6:$A$150,0)),"")</f>
        <v>6</v>
      </c>
      <c r="D14" s="14" t="n">
        <f aca="false">IFERROR(INDEX(Azioni!$E$6:$E$150,MATCH(B14,Azioni!$A$6:$A$150,0)),"")</f>
        <v>-536.912751677852</v>
      </c>
      <c r="E14" s="14" t="n">
        <f aca="false">E13-C14</f>
        <v>137</v>
      </c>
      <c r="F14" s="14" t="n">
        <f aca="false">F13+D14</f>
        <v>-473.919463087248</v>
      </c>
      <c r="G14" s="15" t="n">
        <f aca="false">F14/8760</f>
        <v>-0.0541003953295946</v>
      </c>
      <c r="H14" s="11" t="n">
        <f aca="false">INT(($B$3-E14)/24)+1</f>
        <v>2</v>
      </c>
      <c r="I14" s="11" t="str">
        <f aca="false">IF(E14&lt;0,"GAME OVER - tempo scaduto (figlia)",IF(F14&lt;0,"GAME OVER - il padre muore","OK"))</f>
        <v>GAME OVER - il padre muore</v>
      </c>
    </row>
    <row r="15" customFormat="false" ht="15" hidden="false" customHeight="false" outlineLevel="0" collapsed="false">
      <c r="A15" s="18" t="n">
        <v>9</v>
      </c>
      <c r="B15" s="28" t="s">
        <v>154</v>
      </c>
      <c r="C15" s="21" t="n">
        <f aca="false">IFERROR(INDEX(Azioni!$C$6:$C$150,MATCH(B15,Azioni!$A$6:$A$150,0)),"")</f>
        <v>1</v>
      </c>
      <c r="D15" s="21" t="n">
        <f aca="false">IFERROR(INDEX(Azioni!$E$6:$E$150,MATCH(B15,Azioni!$A$6:$A$150,0)),"")</f>
        <v>-0.536912751677852</v>
      </c>
      <c r="E15" s="21" t="n">
        <f aca="false">E14-C15</f>
        <v>136</v>
      </c>
      <c r="F15" s="21" t="n">
        <f aca="false">F14+D15</f>
        <v>-474.456375838926</v>
      </c>
      <c r="G15" s="22" t="n">
        <f aca="false">F15/8760</f>
        <v>-0.0541616867396035</v>
      </c>
      <c r="H15" s="18" t="n">
        <f aca="false">INT(($B$3-E15)/24)+1</f>
        <v>2</v>
      </c>
      <c r="I15" s="18" t="str">
        <f aca="false">IF(E15&lt;0,"GAME OVER - tempo scaduto (figlia)",IF(F15&lt;0,"GAME OVER - il padre muore","OK"))</f>
        <v>GAME OVER - il padre muore</v>
      </c>
    </row>
    <row r="16" customFormat="false" ht="15" hidden="false" customHeight="false" outlineLevel="0" collapsed="false">
      <c r="A16" s="11" t="n">
        <v>10</v>
      </c>
      <c r="B16" s="29" t="s">
        <v>73</v>
      </c>
      <c r="C16" s="14" t="n">
        <f aca="false">IFERROR(INDEX(Azioni!$C$6:$C$150,MATCH(B16,Azioni!$A$6:$A$150,0)),"")</f>
        <v>0</v>
      </c>
      <c r="D16" s="14" t="n">
        <f aca="false">IFERROR(INDEX(Azioni!$E$6:$E$150,MATCH(B16,Azioni!$A$6:$A$150,0)),"")</f>
        <v>-53.6912751677852</v>
      </c>
      <c r="E16" s="14" t="n">
        <f aca="false">E15-C16</f>
        <v>136</v>
      </c>
      <c r="F16" s="14" t="n">
        <f aca="false">F15+D16</f>
        <v>-528.147651006711</v>
      </c>
      <c r="G16" s="15" t="n">
        <f aca="false">F16/8760</f>
        <v>-0.0602908277404922</v>
      </c>
      <c r="H16" s="11" t="n">
        <f aca="false">INT(($B$3-E16)/24)+1</f>
        <v>2</v>
      </c>
      <c r="I16" s="11" t="str">
        <f aca="false">IF(E16&lt;0,"GAME OVER - tempo scaduto (figlia)",IF(F16&lt;0,"GAME OVER - il padre muore","OK"))</f>
        <v>GAME OVER - il padre muore</v>
      </c>
    </row>
    <row r="17" customFormat="false" ht="15" hidden="false" customHeight="false" outlineLevel="0" collapsed="false">
      <c r="A17" s="18" t="n">
        <v>11</v>
      </c>
      <c r="B17" s="28" t="s">
        <v>160</v>
      </c>
      <c r="C17" s="21" t="n">
        <f aca="false">IFERROR(INDEX(Azioni!$C$6:$C$150,MATCH(B17,Azioni!$A$6:$A$150,0)),"")</f>
        <v>8</v>
      </c>
      <c r="D17" s="21" t="n">
        <f aca="false">IFERROR(INDEX(Azioni!$E$6:$E$150,MATCH(B17,Azioni!$A$6:$A$150,0)),"")</f>
        <v>0</v>
      </c>
      <c r="E17" s="21" t="n">
        <f aca="false">E16-C17</f>
        <v>128</v>
      </c>
      <c r="F17" s="21" t="n">
        <f aca="false">F16+D17</f>
        <v>-528.147651006711</v>
      </c>
      <c r="G17" s="22" t="n">
        <f aca="false">F17/8760</f>
        <v>-0.0602908277404922</v>
      </c>
      <c r="H17" s="18" t="n">
        <f aca="false">INT(($B$3-E17)/24)+1</f>
        <v>2</v>
      </c>
      <c r="I17" s="18" t="str">
        <f aca="false">IF(E17&lt;0,"GAME OVER - tempo scaduto (figlia)",IF(F17&lt;0,"GAME OVER - il padre muore","OK"))</f>
        <v>GAME OVER - il padre muore</v>
      </c>
    </row>
    <row r="18" customFormat="false" ht="15" hidden="false" customHeight="false" outlineLevel="0" collapsed="false">
      <c r="A18" s="11" t="n">
        <v>12</v>
      </c>
      <c r="B18" s="29" t="s">
        <v>137</v>
      </c>
      <c r="C18" s="14" t="n">
        <f aca="false">IFERROR(INDEX(Azioni!$C$6:$C$150,MATCH(B18,Azioni!$A$6:$A$150,0)),"")</f>
        <v>2</v>
      </c>
      <c r="D18" s="14" t="n">
        <f aca="false">IFERROR(INDEX(Azioni!$E$6:$E$150,MATCH(B18,Azioni!$A$6:$A$150,0)),"")</f>
        <v>13.4228187919463</v>
      </c>
      <c r="E18" s="14" t="n">
        <f aca="false">E17-C18</f>
        <v>126</v>
      </c>
      <c r="F18" s="14" t="n">
        <f aca="false">F17+D18</f>
        <v>-514.724832214765</v>
      </c>
      <c r="G18" s="15" t="n">
        <f aca="false">F18/8760</f>
        <v>-0.05875854249027</v>
      </c>
      <c r="H18" s="11" t="n">
        <f aca="false">INT(($B$3-E18)/24)+1</f>
        <v>2</v>
      </c>
      <c r="I18" s="11" t="str">
        <f aca="false">IF(E18&lt;0,"GAME OVER - tempo scaduto (figlia)",IF(F18&lt;0,"GAME OVER - il padre muore","OK"))</f>
        <v>GAME OVER - il padre muore</v>
      </c>
    </row>
    <row r="19" customFormat="false" ht="15" hidden="false" customHeight="false" outlineLevel="0" collapsed="false">
      <c r="A19" s="18" t="n">
        <v>13</v>
      </c>
      <c r="B19" s="28" t="s">
        <v>78</v>
      </c>
      <c r="C19" s="21" t="n">
        <f aca="false">IFERROR(INDEX(Azioni!$C$6:$C$150,MATCH(B19,Azioni!$A$6:$A$150,0)),"")</f>
        <v>2</v>
      </c>
      <c r="D19" s="21" t="n">
        <f aca="false">IFERROR(INDEX(Azioni!$E$6:$E$150,MATCH(B19,Azioni!$A$6:$A$150,0)),"")</f>
        <v>10.0671140939597</v>
      </c>
      <c r="E19" s="21" t="n">
        <f aca="false">E18-C19</f>
        <v>124</v>
      </c>
      <c r="F19" s="21" t="n">
        <f aca="false">F18+D19</f>
        <v>-504.657718120805</v>
      </c>
      <c r="G19" s="22" t="n">
        <f aca="false">F19/8760</f>
        <v>-0.0576093285526034</v>
      </c>
      <c r="H19" s="18" t="n">
        <f aca="false">INT(($B$3-E19)/24)+1</f>
        <v>2</v>
      </c>
      <c r="I19" s="18" t="str">
        <f aca="false">IF(E19&lt;0,"GAME OVER - tempo scaduto (figlia)",IF(F19&lt;0,"GAME OVER - il padre muore","OK"))</f>
        <v>GAME OVER - il padre muore</v>
      </c>
    </row>
    <row r="20" customFormat="false" ht="15" hidden="false" customHeight="false" outlineLevel="0" collapsed="false">
      <c r="A20" s="11" t="n">
        <v>14</v>
      </c>
      <c r="B20" s="29" t="s">
        <v>88</v>
      </c>
      <c r="C20" s="14" t="n">
        <f aca="false">IFERROR(INDEX(Azioni!$C$6:$C$150,MATCH(B20,Azioni!$A$6:$A$150,0)),"")</f>
        <v>2</v>
      </c>
      <c r="D20" s="14" t="n">
        <f aca="false">IFERROR(INDEX(Azioni!$E$6:$E$150,MATCH(B20,Azioni!$A$6:$A$150,0)),"")</f>
        <v>-67.1140939597316</v>
      </c>
      <c r="E20" s="14" t="n">
        <f aca="false">E19-C20</f>
        <v>122</v>
      </c>
      <c r="F20" s="14" t="n">
        <f aca="false">F19+D20</f>
        <v>-571.771812080537</v>
      </c>
      <c r="G20" s="15" t="n">
        <f aca="false">F20/8760</f>
        <v>-0.0652707548037143</v>
      </c>
      <c r="H20" s="11" t="n">
        <f aca="false">INT(($B$3-E20)/24)+1</f>
        <v>2</v>
      </c>
      <c r="I20" s="11" t="str">
        <f aca="false">IF(E20&lt;0,"GAME OVER - tempo scaduto (figlia)",IF(F20&lt;0,"GAME OVER - il padre muore","OK"))</f>
        <v>GAME OVER - il padre muore</v>
      </c>
    </row>
    <row r="21" customFormat="false" ht="15" hidden="false" customHeight="false" outlineLevel="0" collapsed="false">
      <c r="A21" s="18" t="n">
        <v>15</v>
      </c>
      <c r="B21" s="28" t="s">
        <v>141</v>
      </c>
      <c r="C21" s="21" t="n">
        <f aca="false">IFERROR(INDEX(Azioni!$C$6:$C$150,MATCH(B21,Azioni!$A$6:$A$150,0)),"")</f>
        <v>24</v>
      </c>
      <c r="D21" s="21" t="n">
        <f aca="false">IFERROR(INDEX(Azioni!$E$6:$E$150,MATCH(B21,Azioni!$A$6:$A$150,0)),"")</f>
        <v>536.912751677852</v>
      </c>
      <c r="E21" s="21" t="n">
        <f aca="false">E20-C21</f>
        <v>98</v>
      </c>
      <c r="F21" s="21" t="n">
        <f aca="false">F20+D21</f>
        <v>-34.8590604026846</v>
      </c>
      <c r="G21" s="22" t="n">
        <f aca="false">F21/8760</f>
        <v>-0.00397934479482701</v>
      </c>
      <c r="H21" s="18" t="n">
        <f aca="false">INT(($B$3-E21)/24)+1</f>
        <v>3</v>
      </c>
      <c r="I21" s="18" t="str">
        <f aca="false">IF(E21&lt;0,"GAME OVER - tempo scaduto (figlia)",IF(F21&lt;0,"GAME OVER - il padre muore","OK"))</f>
        <v>GAME OVER - il padre muore</v>
      </c>
    </row>
    <row r="22" customFormat="false" ht="15" hidden="false" customHeight="false" outlineLevel="0" collapsed="false">
      <c r="A22" s="11" t="n">
        <v>16</v>
      </c>
      <c r="B22" s="29" t="s">
        <v>160</v>
      </c>
      <c r="C22" s="14" t="n">
        <f aca="false">IFERROR(INDEX(Azioni!$C$6:$C$150,MATCH(B22,Azioni!$A$6:$A$150,0)),"")</f>
        <v>8</v>
      </c>
      <c r="D22" s="14" t="n">
        <f aca="false">IFERROR(INDEX(Azioni!$E$6:$E$150,MATCH(B22,Azioni!$A$6:$A$150,0)),"")</f>
        <v>0</v>
      </c>
      <c r="E22" s="14" t="n">
        <f aca="false">E21-C22</f>
        <v>90</v>
      </c>
      <c r="F22" s="14" t="n">
        <f aca="false">F21+D22</f>
        <v>-34.8590604026846</v>
      </c>
      <c r="G22" s="15" t="n">
        <f aca="false">F22/8760</f>
        <v>-0.00397934479482701</v>
      </c>
      <c r="H22" s="11" t="n">
        <f aca="false">INT(($B$3-E22)/24)+1</f>
        <v>4</v>
      </c>
      <c r="I22" s="11" t="str">
        <f aca="false">IF(E22&lt;0,"GAME OVER - tempo scaduto (figlia)",IF(F22&lt;0,"GAME OVER - il padre muore","OK"))</f>
        <v>GAME OVER - il padre muore</v>
      </c>
    </row>
    <row r="23" customFormat="false" ht="15" hidden="false" customHeight="false" outlineLevel="0" collapsed="false">
      <c r="A23" s="18" t="n">
        <v>17</v>
      </c>
      <c r="B23" s="28" t="s">
        <v>134</v>
      </c>
      <c r="C23" s="21" t="n">
        <f aca="false">IFERROR(INDEX(Azioni!$C$6:$C$150,MATCH(B23,Azioni!$A$6:$A$150,0)),"")</f>
        <v>72</v>
      </c>
      <c r="D23" s="21" t="n">
        <f aca="false">IFERROR(INDEX(Azioni!$E$6:$E$150,MATCH(B23,Azioni!$A$6:$A$150,0)),"")</f>
        <v>201342.281879195</v>
      </c>
      <c r="E23" s="21" t="n">
        <f aca="false">E22-C23</f>
        <v>18</v>
      </c>
      <c r="F23" s="21" t="n">
        <f aca="false">F22+D23</f>
        <v>201307.422818792</v>
      </c>
      <c r="G23" s="22" t="n">
        <f aca="false">F23/8760</f>
        <v>22.9802994085379</v>
      </c>
      <c r="H23" s="18" t="n">
        <f aca="false">INT(($B$3-E23)/24)+1</f>
        <v>7</v>
      </c>
      <c r="I23" s="18" t="str">
        <f aca="false">IF(E23&lt;0,"GAME OVER - tempo scaduto (figlia)",IF(F23&lt;0,"GAME OVER - il padre muore","OK"))</f>
        <v>OK</v>
      </c>
    </row>
    <row r="24" customFormat="false" ht="15" hidden="false" customHeight="false" outlineLevel="0" collapsed="false">
      <c r="A24" s="11" t="n">
        <v>18</v>
      </c>
      <c r="B24" s="29" t="s">
        <v>154</v>
      </c>
      <c r="C24" s="14" t="n">
        <f aca="false">IFERROR(INDEX(Azioni!$C$6:$C$150,MATCH(B24,Azioni!$A$6:$A$150,0)),"")</f>
        <v>1</v>
      </c>
      <c r="D24" s="14" t="n">
        <f aca="false">IFERROR(INDEX(Azioni!$E$6:$E$150,MATCH(B24,Azioni!$A$6:$A$150,0)),"")</f>
        <v>-0.536912751677852</v>
      </c>
      <c r="E24" s="14" t="n">
        <f aca="false">E23-C24</f>
        <v>17</v>
      </c>
      <c r="F24" s="14" t="n">
        <f aca="false">F23+D24</f>
        <v>201306.88590604</v>
      </c>
      <c r="G24" s="15" t="n">
        <f aca="false">F24/8760</f>
        <v>22.9802381171279</v>
      </c>
      <c r="H24" s="11" t="n">
        <f aca="false">INT(($B$3-E24)/24)+1</f>
        <v>7</v>
      </c>
      <c r="I24" s="11" t="str">
        <f aca="false">IF(E24&lt;0,"GAME OVER - tempo scaduto (figlia)",IF(F24&lt;0,"GAME OVER - il padre muore","OK"))</f>
        <v>OK</v>
      </c>
    </row>
    <row r="25" customFormat="false" ht="15" hidden="false" customHeight="false" outlineLevel="0" collapsed="false">
      <c r="A25" s="18" t="n">
        <v>19</v>
      </c>
      <c r="B25" s="28" t="s">
        <v>173</v>
      </c>
      <c r="C25" s="21" t="n">
        <f aca="false">IFERROR(INDEX(Azioni!$C$6:$C$150,MATCH(B25,Azioni!$A$6:$A$150,0)),"")</f>
        <v>2</v>
      </c>
      <c r="D25" s="21" t="n">
        <f aca="false">IFERROR(INDEX(Azioni!$E$6:$E$150,MATCH(B25,Azioni!$A$6:$A$150,0)),"")</f>
        <v>0</v>
      </c>
      <c r="E25" s="21" t="n">
        <f aca="false">E24-C25</f>
        <v>15</v>
      </c>
      <c r="F25" s="21" t="n">
        <f aca="false">F24+D25</f>
        <v>201306.88590604</v>
      </c>
      <c r="G25" s="22" t="n">
        <f aca="false">F25/8760</f>
        <v>22.9802381171279</v>
      </c>
      <c r="H25" s="18" t="n">
        <f aca="false">INT(($B$3-E25)/24)+1</f>
        <v>7</v>
      </c>
      <c r="I25" s="18" t="str">
        <f aca="false">IF(E25&lt;0,"GAME OVER - tempo scaduto (figlia)",IF(F25&lt;0,"GAME OVER - il padre muore","OK"))</f>
        <v>OK</v>
      </c>
    </row>
    <row r="27" customFormat="false" ht="15" hidden="false" customHeight="false" outlineLevel="0" collapsed="false">
      <c r="A27" s="7" t="s">
        <v>193</v>
      </c>
      <c r="B27" s="7"/>
    </row>
    <row r="28" customFormat="false" ht="15" hidden="false" customHeight="false" outlineLevel="0" collapsed="false">
      <c r="A28" s="2" t="s">
        <v>194</v>
      </c>
      <c r="B28" s="30" t="n">
        <f aca="false">E25</f>
        <v>15</v>
      </c>
    </row>
    <row r="29" customFormat="false" ht="15" hidden="false" customHeight="false" outlineLevel="0" collapsed="false">
      <c r="A29" s="2" t="s">
        <v>195</v>
      </c>
      <c r="B29" s="30" t="n">
        <f aca="false">F25</f>
        <v>201306.88590604</v>
      </c>
    </row>
    <row r="30" customFormat="false" ht="15" hidden="false" customHeight="false" outlineLevel="0" collapsed="false">
      <c r="A30" s="2" t="s">
        <v>196</v>
      </c>
      <c r="B30" s="30" t="n">
        <f aca="false">F25/8760</f>
        <v>22.9802381171279</v>
      </c>
    </row>
    <row r="31" customFormat="false" ht="15" hidden="false" customHeight="false" outlineLevel="0" collapsed="false">
      <c r="A31" s="2" t="s">
        <v>197</v>
      </c>
      <c r="B31" s="27" t="n">
        <v>0</v>
      </c>
    </row>
    <row r="32" customFormat="false" ht="15" hidden="false" customHeight="false" outlineLevel="0" collapsed="false">
      <c r="A32" s="2" t="s">
        <v>198</v>
      </c>
      <c r="B32" s="31" t="n">
        <f aca="false">B30-B31</f>
        <v>22.9802381171279</v>
      </c>
    </row>
  </sheetData>
  <mergeCells count="2">
    <mergeCell ref="A1:F1"/>
    <mergeCell ref="A27:B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4" min="3" style="0" width="20"/>
    <col collapsed="false" customWidth="true" hidden="false" outlineLevel="0" max="5" min="5" style="0" width="14"/>
    <col collapsed="false" customWidth="true" hidden="false" outlineLevel="0" max="6" min="6" style="0" width="34"/>
  </cols>
  <sheetData>
    <row r="1" customFormat="false" ht="17.35" hidden="false" customHeight="false" outlineLevel="0" collapsed="false">
      <c r="A1" s="32" t="s">
        <v>199</v>
      </c>
      <c r="B1" s="32"/>
      <c r="C1" s="32"/>
      <c r="D1" s="32"/>
      <c r="E1" s="32"/>
      <c r="F1" s="32"/>
    </row>
    <row r="2" customFormat="false" ht="31.5" hidden="false" customHeight="true" outlineLevel="0" collapsed="false">
      <c r="A2" s="33" t="s">
        <v>200</v>
      </c>
      <c r="B2" s="33"/>
      <c r="C2" s="33"/>
      <c r="D2" s="33"/>
      <c r="E2" s="33"/>
      <c r="F2" s="33"/>
      <c r="G2" s="33"/>
      <c r="H2" s="33"/>
      <c r="I2" s="33"/>
    </row>
    <row r="4" customFormat="false" ht="15" hidden="false" customHeight="false" outlineLevel="0" collapsed="false">
      <c r="A4" s="34" t="s">
        <v>201</v>
      </c>
    </row>
    <row r="5" customFormat="false" ht="26.85" hidden="false" customHeight="false" outlineLevel="0" collapsed="false">
      <c r="A5" s="10" t="s">
        <v>202</v>
      </c>
      <c r="B5" s="10" t="s">
        <v>203</v>
      </c>
      <c r="C5" s="10" t="s">
        <v>204</v>
      </c>
      <c r="D5" s="10" t="s">
        <v>205</v>
      </c>
      <c r="E5" s="10" t="s">
        <v>206</v>
      </c>
    </row>
    <row r="6" customFormat="false" ht="39.75" hidden="false" customHeight="true" outlineLevel="0" collapsed="false">
      <c r="A6" s="35" t="s">
        <v>207</v>
      </c>
      <c r="B6" s="35" t="s">
        <v>208</v>
      </c>
      <c r="C6" s="35" t="s">
        <v>209</v>
      </c>
      <c r="D6" s="35" t="s">
        <v>210</v>
      </c>
      <c r="E6" s="35" t="s">
        <v>211</v>
      </c>
    </row>
    <row r="7" customFormat="false" ht="39.75" hidden="false" customHeight="true" outlineLevel="0" collapsed="false">
      <c r="A7" s="36" t="s">
        <v>212</v>
      </c>
      <c r="B7" s="36" t="s">
        <v>208</v>
      </c>
      <c r="C7" s="36" t="s">
        <v>213</v>
      </c>
      <c r="D7" s="36" t="s">
        <v>214</v>
      </c>
      <c r="E7" s="36" t="s">
        <v>215</v>
      </c>
    </row>
    <row r="8" customFormat="false" ht="39.75" hidden="false" customHeight="true" outlineLevel="0" collapsed="false">
      <c r="A8" s="35" t="s">
        <v>216</v>
      </c>
      <c r="B8" s="35" t="s">
        <v>208</v>
      </c>
      <c r="C8" s="35" t="s">
        <v>217</v>
      </c>
      <c r="D8" s="35" t="s">
        <v>218</v>
      </c>
      <c r="E8" s="35" t="s">
        <v>219</v>
      </c>
    </row>
    <row r="9" customFormat="false" ht="39.75" hidden="false" customHeight="true" outlineLevel="0" collapsed="false">
      <c r="A9" s="36" t="s">
        <v>220</v>
      </c>
      <c r="B9" s="36" t="s">
        <v>221</v>
      </c>
      <c r="C9" s="36" t="s">
        <v>222</v>
      </c>
      <c r="D9" s="36" t="s">
        <v>223</v>
      </c>
      <c r="E9" s="36" t="s">
        <v>224</v>
      </c>
    </row>
    <row r="10" customFormat="false" ht="39.75" hidden="false" customHeight="true" outlineLevel="0" collapsed="false">
      <c r="A10" s="35" t="s">
        <v>225</v>
      </c>
      <c r="B10" s="35" t="s">
        <v>226</v>
      </c>
      <c r="C10" s="35" t="s">
        <v>227</v>
      </c>
      <c r="D10" s="35" t="s">
        <v>228</v>
      </c>
      <c r="E10" s="35" t="s">
        <v>229</v>
      </c>
    </row>
    <row r="13" customFormat="false" ht="15" hidden="false" customHeight="false" outlineLevel="0" collapsed="false">
      <c r="A13" s="34" t="s">
        <v>230</v>
      </c>
    </row>
    <row r="14" customFormat="false" ht="26.85" hidden="false" customHeight="false" outlineLevel="0" collapsed="false">
      <c r="A14" s="10" t="s">
        <v>231</v>
      </c>
      <c r="B14" s="10" t="s">
        <v>232</v>
      </c>
      <c r="C14" s="10" t="s">
        <v>29</v>
      </c>
      <c r="D14" s="10" t="s">
        <v>31</v>
      </c>
      <c r="E14" s="10" t="s">
        <v>233</v>
      </c>
      <c r="F14" s="10" t="s">
        <v>234</v>
      </c>
    </row>
    <row r="15" customFormat="false" ht="52.2" hidden="false" customHeight="false" outlineLevel="0" collapsed="false">
      <c r="A15" s="36" t="s">
        <v>37</v>
      </c>
      <c r="B15" s="36" t="s">
        <v>235</v>
      </c>
      <c r="C15" s="37" t="n">
        <v>20</v>
      </c>
      <c r="D15" s="37" t="n">
        <v>6040.3</v>
      </c>
      <c r="E15" s="38" t="n">
        <v>0.15</v>
      </c>
      <c r="F15" s="36" t="s">
        <v>236</v>
      </c>
    </row>
    <row r="16" customFormat="false" ht="102.95" hidden="false" customHeight="false" outlineLevel="0" collapsed="false">
      <c r="A16" s="35" t="s">
        <v>37</v>
      </c>
      <c r="B16" s="35" t="s">
        <v>237</v>
      </c>
      <c r="C16" s="39" t="n">
        <v>28</v>
      </c>
      <c r="D16" s="39" t="n">
        <v>93959.7</v>
      </c>
      <c r="E16" s="40" t="n">
        <v>0.1</v>
      </c>
      <c r="F16" s="35" t="s">
        <v>238</v>
      </c>
    </row>
    <row r="17" customFormat="false" ht="39.55" hidden="false" customHeight="false" outlineLevel="0" collapsed="false">
      <c r="A17" s="36" t="s">
        <v>239</v>
      </c>
      <c r="B17" s="36" t="s">
        <v>240</v>
      </c>
      <c r="C17" s="37" t="n">
        <v>24</v>
      </c>
      <c r="D17" s="37" t="n">
        <v>8724.8</v>
      </c>
      <c r="E17" s="38" t="n">
        <v>0.3</v>
      </c>
      <c r="F17" s="36" t="s">
        <v>241</v>
      </c>
    </row>
    <row r="18" customFormat="false" ht="77.6" hidden="false" customHeight="false" outlineLevel="0" collapsed="false">
      <c r="A18" s="35" t="s">
        <v>239</v>
      </c>
      <c r="B18" s="35" t="s">
        <v>242</v>
      </c>
      <c r="C18" s="39" t="n">
        <v>32</v>
      </c>
      <c r="D18" s="39" t="n">
        <v>124161.1</v>
      </c>
      <c r="E18" s="40" t="n">
        <v>0.45</v>
      </c>
      <c r="F18" s="35" t="s">
        <v>243</v>
      </c>
    </row>
    <row r="19" customFormat="false" ht="39.55" hidden="false" customHeight="false" outlineLevel="0" collapsed="false">
      <c r="A19" s="36" t="s">
        <v>244</v>
      </c>
      <c r="B19" s="36" t="s">
        <v>245</v>
      </c>
      <c r="C19" s="37" t="n">
        <v>28</v>
      </c>
      <c r="D19" s="37" t="n">
        <v>17449.7</v>
      </c>
      <c r="E19" s="38" t="n">
        <v>0.2</v>
      </c>
      <c r="F19" s="36" t="s">
        <v>246</v>
      </c>
    </row>
    <row r="20" customFormat="false" ht="52.2" hidden="false" customHeight="false" outlineLevel="0" collapsed="false">
      <c r="A20" s="35" t="s">
        <v>244</v>
      </c>
      <c r="B20" s="35" t="s">
        <v>247</v>
      </c>
      <c r="C20" s="39" t="n">
        <v>32</v>
      </c>
      <c r="D20" s="39" t="n">
        <v>140939.6</v>
      </c>
      <c r="E20" s="40" t="n">
        <v>0.35</v>
      </c>
      <c r="F20" s="35" t="s">
        <v>248</v>
      </c>
    </row>
    <row r="21" customFormat="false" ht="39.55" hidden="false" customHeight="false" outlineLevel="0" collapsed="false">
      <c r="A21" s="36" t="s">
        <v>113</v>
      </c>
      <c r="B21" s="36" t="s">
        <v>249</v>
      </c>
      <c r="C21" s="37" t="n">
        <v>20</v>
      </c>
      <c r="D21" s="37" t="n">
        <v>17449.7</v>
      </c>
      <c r="E21" s="38" t="n">
        <v>0.2</v>
      </c>
      <c r="F21" s="36" t="s">
        <v>250</v>
      </c>
    </row>
    <row r="22" customFormat="false" ht="52.2" hidden="false" customHeight="false" outlineLevel="0" collapsed="false">
      <c r="A22" s="35" t="s">
        <v>113</v>
      </c>
      <c r="B22" s="35" t="s">
        <v>251</v>
      </c>
      <c r="C22" s="39" t="n">
        <v>28</v>
      </c>
      <c r="D22" s="39" t="n">
        <v>130872.5</v>
      </c>
      <c r="E22" s="40" t="n">
        <v>0.4</v>
      </c>
      <c r="F22" s="35" t="s">
        <v>252</v>
      </c>
    </row>
    <row r="23" customFormat="false" ht="26.85" hidden="false" customHeight="false" outlineLevel="0" collapsed="false">
      <c r="A23" s="36" t="s">
        <v>253</v>
      </c>
      <c r="B23" s="36" t="s">
        <v>254</v>
      </c>
      <c r="C23" s="37" t="n">
        <v>28</v>
      </c>
      <c r="D23" s="37" t="n">
        <v>26174.5</v>
      </c>
      <c r="E23" s="38" t="n">
        <v>0.15</v>
      </c>
      <c r="F23" s="36" t="s">
        <v>255</v>
      </c>
    </row>
    <row r="24" customFormat="false" ht="77.6" hidden="false" customHeight="false" outlineLevel="0" collapsed="false">
      <c r="A24" s="35" t="s">
        <v>253</v>
      </c>
      <c r="B24" s="35" t="s">
        <v>256</v>
      </c>
      <c r="C24" s="39" t="n">
        <v>36</v>
      </c>
      <c r="D24" s="39" t="n">
        <v>191275.2</v>
      </c>
      <c r="E24" s="40" t="n">
        <v>0.3</v>
      </c>
      <c r="F24" s="35" t="s">
        <v>257</v>
      </c>
    </row>
    <row r="25" customFormat="false" ht="39.55" hidden="false" customHeight="false" outlineLevel="0" collapsed="false">
      <c r="A25" s="36" t="s">
        <v>258</v>
      </c>
      <c r="B25" s="36" t="s">
        <v>259</v>
      </c>
      <c r="C25" s="37" t="n">
        <v>20</v>
      </c>
      <c r="D25" s="37" t="n">
        <v>17449.7</v>
      </c>
      <c r="E25" s="38" t="n">
        <v>0.1</v>
      </c>
      <c r="F25" s="36" t="s">
        <v>260</v>
      </c>
    </row>
    <row r="26" customFormat="false" ht="64.9" hidden="false" customHeight="false" outlineLevel="0" collapsed="false">
      <c r="A26" s="35" t="s">
        <v>258</v>
      </c>
      <c r="B26" s="35" t="s">
        <v>261</v>
      </c>
      <c r="C26" s="39" t="n">
        <v>28</v>
      </c>
      <c r="D26" s="39" t="n">
        <v>130872.5</v>
      </c>
      <c r="E26" s="40" t="n">
        <v>0.25</v>
      </c>
      <c r="F26" s="35" t="s">
        <v>262</v>
      </c>
    </row>
    <row r="27" customFormat="false" ht="26.85" hidden="false" customHeight="false" outlineLevel="0" collapsed="false">
      <c r="A27" s="36" t="s">
        <v>263</v>
      </c>
      <c r="B27" s="36" t="s">
        <v>264</v>
      </c>
      <c r="C27" s="37" t="n">
        <v>24</v>
      </c>
      <c r="D27" s="37" t="n">
        <v>17449.7</v>
      </c>
      <c r="E27" s="38" t="n">
        <v>0.25</v>
      </c>
      <c r="F27" s="36" t="s">
        <v>265</v>
      </c>
    </row>
    <row r="28" customFormat="false" ht="52.2" hidden="false" customHeight="false" outlineLevel="0" collapsed="false">
      <c r="A28" s="35" t="s">
        <v>263</v>
      </c>
      <c r="B28" s="35" t="s">
        <v>266</v>
      </c>
      <c r="C28" s="39" t="n">
        <v>32</v>
      </c>
      <c r="D28" s="39" t="n">
        <v>130872.5</v>
      </c>
      <c r="E28" s="40" t="n">
        <v>0.45</v>
      </c>
      <c r="F28" s="35" t="s">
        <v>267</v>
      </c>
    </row>
    <row r="30" customFormat="false" ht="39.75" hidden="false" customHeight="true" outlineLevel="0" collapsed="false">
      <c r="A30" s="25" t="s">
        <v>268</v>
      </c>
      <c r="B30" s="25"/>
      <c r="C30" s="25"/>
      <c r="D30" s="25"/>
      <c r="E30" s="25"/>
      <c r="F30" s="25"/>
    </row>
    <row r="33" customFormat="false" ht="15" hidden="false" customHeight="false" outlineLevel="0" collapsed="false">
      <c r="A33" s="34" t="s">
        <v>269</v>
      </c>
    </row>
    <row r="34" customFormat="false" ht="31.5" hidden="false" customHeight="true" outlineLevel="0" collapsed="false">
      <c r="A34" s="41" t="s">
        <v>270</v>
      </c>
      <c r="B34" s="36" t="s">
        <v>271</v>
      </c>
      <c r="C34" s="36"/>
      <c r="D34" s="36"/>
      <c r="E34" s="36"/>
      <c r="F34" s="36"/>
    </row>
    <row r="35" customFormat="false" ht="31.5" hidden="false" customHeight="true" outlineLevel="0" collapsed="false">
      <c r="A35" s="41" t="s">
        <v>272</v>
      </c>
      <c r="B35" s="36" t="s">
        <v>273</v>
      </c>
      <c r="C35" s="36"/>
      <c r="D35" s="36"/>
      <c r="E35" s="36"/>
      <c r="F35" s="36"/>
    </row>
    <row r="36" customFormat="false" ht="31.5" hidden="false" customHeight="true" outlineLevel="0" collapsed="false">
      <c r="A36" s="41" t="s">
        <v>274</v>
      </c>
      <c r="B36" s="36" t="s">
        <v>275</v>
      </c>
      <c r="C36" s="36"/>
      <c r="D36" s="36"/>
      <c r="E36" s="36"/>
      <c r="F36" s="36"/>
    </row>
    <row r="39" customFormat="false" ht="15" hidden="false" customHeight="false" outlineLevel="0" collapsed="false">
      <c r="A39" s="34" t="s">
        <v>276</v>
      </c>
    </row>
    <row r="40" customFormat="false" ht="26.85" hidden="false" customHeight="false" outlineLevel="0" collapsed="false">
      <c r="A40" s="10" t="s">
        <v>277</v>
      </c>
      <c r="B40" s="10" t="s">
        <v>29</v>
      </c>
      <c r="C40" s="10" t="s">
        <v>31</v>
      </c>
      <c r="D40" s="10" t="s">
        <v>233</v>
      </c>
      <c r="E40" s="10" t="s">
        <v>234</v>
      </c>
    </row>
    <row r="41" customFormat="false" ht="191.75" hidden="false" customHeight="false" outlineLevel="0" collapsed="false">
      <c r="A41" s="36" t="s">
        <v>278</v>
      </c>
      <c r="B41" s="37" t="n">
        <v>48</v>
      </c>
      <c r="C41" s="37" t="n">
        <v>124161.1</v>
      </c>
      <c r="D41" s="38" t="n">
        <v>0.5</v>
      </c>
      <c r="E41" s="36" t="s">
        <v>279</v>
      </c>
    </row>
    <row r="42" customFormat="false" ht="179.1" hidden="false" customHeight="false" outlineLevel="0" collapsed="false">
      <c r="A42" s="35" t="s">
        <v>280</v>
      </c>
      <c r="B42" s="39" t="n">
        <v>40</v>
      </c>
      <c r="C42" s="39" t="n">
        <v>157718.1</v>
      </c>
      <c r="D42" s="40" t="n">
        <v>0.55</v>
      </c>
      <c r="E42" s="35" t="s">
        <v>281</v>
      </c>
    </row>
    <row r="43" customFormat="false" ht="128.35" hidden="false" customHeight="false" outlineLevel="0" collapsed="false">
      <c r="A43" s="36" t="s">
        <v>282</v>
      </c>
      <c r="B43" s="37" t="n">
        <v>24</v>
      </c>
      <c r="C43" s="37" t="n">
        <v>87248.3</v>
      </c>
      <c r="D43" s="38" t="n">
        <v>0.3</v>
      </c>
      <c r="E43" s="36" t="s">
        <v>283</v>
      </c>
    </row>
    <row r="44" customFormat="false" ht="204.45" hidden="false" customHeight="false" outlineLevel="0" collapsed="false">
      <c r="A44" s="35" t="s">
        <v>284</v>
      </c>
      <c r="B44" s="39" t="n">
        <v>16</v>
      </c>
      <c r="C44" s="39" t="n">
        <v>177852.3</v>
      </c>
      <c r="D44" s="40" t="n">
        <v>0.2</v>
      </c>
      <c r="E44" s="35" t="s">
        <v>285</v>
      </c>
    </row>
    <row r="45" customFormat="false" ht="229.85" hidden="false" customHeight="false" outlineLevel="0" collapsed="false">
      <c r="A45" s="36" t="s">
        <v>286</v>
      </c>
      <c r="B45" s="37" t="n">
        <v>72</v>
      </c>
      <c r="C45" s="37" t="n">
        <v>265100.7</v>
      </c>
      <c r="D45" s="38" t="n">
        <v>0.65</v>
      </c>
      <c r="E45" s="36" t="s">
        <v>287</v>
      </c>
    </row>
    <row r="46" customFormat="false" ht="128.35" hidden="false" customHeight="false" outlineLevel="0" collapsed="false">
      <c r="A46" s="35" t="s">
        <v>288</v>
      </c>
      <c r="B46" s="39" t="n">
        <v>48</v>
      </c>
      <c r="C46" s="39" t="n">
        <v>211409.4</v>
      </c>
      <c r="D46" s="40" t="n">
        <v>0.55</v>
      </c>
      <c r="E46" s="35" t="s">
        <v>289</v>
      </c>
    </row>
    <row r="47" customFormat="false" ht="153.7" hidden="false" customHeight="false" outlineLevel="0" collapsed="false">
      <c r="A47" s="36" t="s">
        <v>290</v>
      </c>
      <c r="B47" s="37" t="n">
        <v>72</v>
      </c>
      <c r="C47" s="37" t="n">
        <v>298657.7</v>
      </c>
      <c r="D47" s="38" t="n">
        <v>0.6</v>
      </c>
      <c r="E47" s="36" t="s">
        <v>291</v>
      </c>
    </row>
    <row r="48" customFormat="false" ht="102.95" hidden="false" customHeight="false" outlineLevel="0" collapsed="false">
      <c r="A48" s="35" t="s">
        <v>292</v>
      </c>
      <c r="B48" s="39" t="n">
        <v>48</v>
      </c>
      <c r="C48" s="39" t="n">
        <v>104026.8</v>
      </c>
      <c r="D48" s="40" t="n">
        <v>0.45</v>
      </c>
      <c r="E48" s="35" t="s">
        <v>293</v>
      </c>
    </row>
    <row r="49" customFormat="false" ht="128.35" hidden="false" customHeight="false" outlineLevel="0" collapsed="false">
      <c r="A49" s="36" t="s">
        <v>294</v>
      </c>
      <c r="B49" s="37" t="n">
        <v>24</v>
      </c>
      <c r="C49" s="37" t="n">
        <v>191275.2</v>
      </c>
      <c r="D49" s="38" t="n">
        <v>0.55</v>
      </c>
      <c r="E49" s="36" t="s">
        <v>295</v>
      </c>
    </row>
    <row r="50" customFormat="false" ht="191.75" hidden="false" customHeight="false" outlineLevel="0" collapsed="false">
      <c r="A50" s="35" t="s">
        <v>296</v>
      </c>
      <c r="B50" s="39" t="n">
        <v>48</v>
      </c>
      <c r="C50" s="39" t="n">
        <v>157718.1</v>
      </c>
      <c r="D50" s="40" t="n">
        <v>0.6</v>
      </c>
      <c r="E50" s="35" t="s">
        <v>297</v>
      </c>
    </row>
    <row r="53" customFormat="false" ht="15" hidden="false" customHeight="false" outlineLevel="0" collapsed="false">
      <c r="A53" s="34" t="s">
        <v>298</v>
      </c>
    </row>
    <row r="54" customFormat="false" ht="39.75" hidden="false" customHeight="true" outlineLevel="0" collapsed="false">
      <c r="A54" s="33" t="s">
        <v>299</v>
      </c>
      <c r="B54" s="33"/>
      <c r="C54" s="33"/>
      <c r="D54" s="33"/>
      <c r="E54" s="33"/>
      <c r="F54" s="33"/>
    </row>
    <row r="56" customFormat="false" ht="26.85" hidden="false" customHeight="false" outlineLevel="0" collapsed="false">
      <c r="A56" s="10" t="s">
        <v>300</v>
      </c>
      <c r="B56" s="10" t="s">
        <v>301</v>
      </c>
      <c r="C56" s="10" t="s">
        <v>302</v>
      </c>
    </row>
    <row r="57" customFormat="false" ht="30" hidden="false" customHeight="true" outlineLevel="0" collapsed="false">
      <c r="A57" s="36" t="s">
        <v>303</v>
      </c>
      <c r="B57" s="36" t="s">
        <v>304</v>
      </c>
      <c r="C57" s="36" t="s">
        <v>305</v>
      </c>
    </row>
    <row r="58" customFormat="false" ht="30" hidden="false" customHeight="true" outlineLevel="0" collapsed="false">
      <c r="A58" s="36" t="s">
        <v>306</v>
      </c>
      <c r="B58" s="36" t="s">
        <v>307</v>
      </c>
      <c r="C58" s="36" t="s">
        <v>308</v>
      </c>
    </row>
    <row r="59" customFormat="false" ht="30" hidden="false" customHeight="true" outlineLevel="0" collapsed="false">
      <c r="A59" s="36" t="s">
        <v>309</v>
      </c>
      <c r="B59" s="36" t="s">
        <v>310</v>
      </c>
      <c r="C59" s="36" t="s">
        <v>311</v>
      </c>
    </row>
    <row r="62" customFormat="false" ht="15" hidden="false" customHeight="false" outlineLevel="0" collapsed="false">
      <c r="A62" s="34" t="s">
        <v>312</v>
      </c>
    </row>
    <row r="63" customFormat="false" ht="42" hidden="false" customHeight="true" outlineLevel="0" collapsed="false">
      <c r="A63" s="42" t="s">
        <v>313</v>
      </c>
      <c r="B63" s="42"/>
      <c r="C63" s="42"/>
      <c r="D63" s="42"/>
      <c r="E63" s="42"/>
      <c r="F63" s="42"/>
    </row>
    <row r="64" customFormat="false" ht="42" hidden="false" customHeight="true" outlineLevel="0" collapsed="false">
      <c r="A64" s="42" t="s">
        <v>314</v>
      </c>
      <c r="B64" s="42"/>
      <c r="C64" s="42"/>
      <c r="D64" s="42"/>
      <c r="E64" s="42"/>
      <c r="F64" s="42"/>
    </row>
    <row r="65" customFormat="false" ht="42" hidden="false" customHeight="true" outlineLevel="0" collapsed="false">
      <c r="A65" s="42" t="s">
        <v>315</v>
      </c>
      <c r="B65" s="42"/>
      <c r="C65" s="42"/>
      <c r="D65" s="42"/>
      <c r="E65" s="42"/>
      <c r="F65" s="42"/>
    </row>
    <row r="66" customFormat="false" ht="42" hidden="false" customHeight="true" outlineLevel="0" collapsed="false">
      <c r="A66" s="42" t="s">
        <v>316</v>
      </c>
      <c r="B66" s="42"/>
      <c r="C66" s="42"/>
      <c r="D66" s="42"/>
      <c r="E66" s="42"/>
      <c r="F66" s="42"/>
    </row>
    <row r="67" customFormat="false" ht="42" hidden="false" customHeight="true" outlineLevel="0" collapsed="false">
      <c r="A67" s="42" t="s">
        <v>317</v>
      </c>
      <c r="B67" s="42"/>
      <c r="C67" s="42"/>
      <c r="D67" s="42"/>
      <c r="E67" s="42"/>
      <c r="F67" s="42"/>
    </row>
    <row r="68" customFormat="false" ht="42" hidden="false" customHeight="true" outlineLevel="0" collapsed="false">
      <c r="A68" s="42" t="s">
        <v>318</v>
      </c>
      <c r="B68" s="42"/>
      <c r="C68" s="42"/>
      <c r="D68" s="42"/>
      <c r="E68" s="42"/>
      <c r="F68" s="42"/>
    </row>
    <row r="69" customFormat="false" ht="42" hidden="false" customHeight="true" outlineLevel="0" collapsed="false">
      <c r="A69" s="42" t="s">
        <v>319</v>
      </c>
      <c r="B69" s="42"/>
      <c r="C69" s="42"/>
      <c r="D69" s="42"/>
      <c r="E69" s="42"/>
      <c r="F69" s="42"/>
    </row>
  </sheetData>
  <mergeCells count="14">
    <mergeCell ref="A1:F1"/>
    <mergeCell ref="A2:I2"/>
    <mergeCell ref="A30:F30"/>
    <mergeCell ref="B34:F34"/>
    <mergeCell ref="B35:F35"/>
    <mergeCell ref="B36:F36"/>
    <mergeCell ref="A54:F54"/>
    <mergeCell ref="A63:F63"/>
    <mergeCell ref="A64:F64"/>
    <mergeCell ref="A65:F65"/>
    <mergeCell ref="A66:F66"/>
    <mergeCell ref="A67:F67"/>
    <mergeCell ref="A68:F68"/>
    <mergeCell ref="A69:F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2026-08-21T21:38:45Z</dcterms:created>
  <dc:creator>openpyxl</dc:creator>
  <dc:description/>
  <dc:language>en-US</dc:language>
  <cp:lastModifiedBy/>
  <dcterms:modified xsi:type="dcterms:W3CDTF">2026-08-21T21:38:45Z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